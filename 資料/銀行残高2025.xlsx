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AGI\Ctej\c-terp\資料\"/>
    </mc:Choice>
  </mc:AlternateContent>
  <xr:revisionPtr revIDLastSave="0" documentId="13_ncr:1_{D77335CF-37C3-4E10-9479-6BB73CF59C37}" xr6:coauthVersionLast="47" xr6:coauthVersionMax="47" xr10:uidLastSave="{00000000-0000-0000-0000-000000000000}"/>
  <bookViews>
    <workbookView xWindow="1935" yWindow="375" windowWidth="24285" windowHeight="14910" tabRatio="834" firstSheet="5" activeTab="5" xr2:uid="{00000000-000D-0000-FFFF-FFFF00000000}"/>
  </bookViews>
  <sheets>
    <sheet name="000000" sheetId="100" state="veryHidden" r:id="rId1"/>
    <sheet name="100000" sheetId="101" state="veryHidden" r:id="rId2"/>
    <sheet name="200000" sheetId="102" state="veryHidden" r:id="rId3"/>
    <sheet name="300000" sheetId="103" state="veryHidden" r:id="rId4"/>
    <sheet name="400000" sheetId="104" state="veryHidden" r:id="rId5"/>
    <sheet name="25'06月" sheetId="341" r:id="rId6"/>
    <sheet name="25'07月" sheetId="342" r:id="rId7"/>
    <sheet name="25'08月" sheetId="343" r:id="rId8"/>
  </sheets>
  <definedNames>
    <definedName name="_xlnm.Print_Area" localSheetId="5">'25''06月'!$A$1:$J$52</definedName>
    <definedName name="_xlnm.Print_Area" localSheetId="6">'25''07月'!$A$1:$J$52</definedName>
    <definedName name="_xlnm.Print_Area" localSheetId="7">'25''08月'!$A$1:$J$52</definedName>
  </definedNames>
  <calcPr calcId="191029"/>
</workbook>
</file>

<file path=xl/calcChain.xml><?xml version="1.0" encoding="utf-8"?>
<calcChain xmlns="http://schemas.openxmlformats.org/spreadsheetml/2006/main">
  <c r="N9" i="342" l="1"/>
  <c r="N7" i="342"/>
  <c r="H54" i="343" l="1"/>
  <c r="G54" i="343"/>
  <c r="D54" i="343"/>
  <c r="C54" i="343"/>
  <c r="H5" i="343"/>
  <c r="G5" i="343"/>
  <c r="D5" i="343"/>
  <c r="C5" i="343"/>
  <c r="J1" i="343"/>
  <c r="C57" i="343" l="1"/>
  <c r="D57" i="343"/>
  <c r="H55" i="343"/>
  <c r="H54" i="342" l="1"/>
  <c r="G54" i="342"/>
  <c r="D54" i="342"/>
  <c r="D57" i="342" s="1"/>
  <c r="C54" i="342"/>
  <c r="H5" i="342"/>
  <c r="G5" i="342"/>
  <c r="D5" i="342"/>
  <c r="C5" i="342"/>
  <c r="J1" i="342"/>
  <c r="C57" i="342" l="1"/>
  <c r="H55" i="342"/>
  <c r="H54" i="341" l="1"/>
  <c r="G54" i="341"/>
  <c r="D54" i="341"/>
  <c r="C54" i="341"/>
  <c r="D5" i="341"/>
  <c r="C5" i="341"/>
  <c r="J1" i="341"/>
  <c r="D57" i="341" l="1"/>
  <c r="C57" i="341"/>
  <c r="H55" i="341"/>
  <c r="I6" i="341" l="1"/>
  <c r="I7" i="341" s="1"/>
  <c r="I8" i="341" s="1"/>
  <c r="I9" i="341" s="1"/>
  <c r="I10" i="341" s="1"/>
  <c r="I11" i="341" s="1"/>
  <c r="I12" i="341" s="1"/>
  <c r="I13" i="341" s="1"/>
  <c r="I14" i="341" s="1"/>
  <c r="I15" i="341" s="1"/>
  <c r="I16" i="341" s="1"/>
  <c r="I17" i="341" s="1"/>
  <c r="I18" i="341" s="1"/>
  <c r="I19" i="341" s="1"/>
  <c r="I20" i="341" s="1"/>
  <c r="I21" i="341" s="1"/>
  <c r="I22" i="341" s="1"/>
  <c r="I23" i="341" s="1"/>
  <c r="I24" i="341" s="1"/>
  <c r="I25" i="341" s="1"/>
  <c r="I26" i="341" s="1"/>
  <c r="I27" i="341" s="1"/>
  <c r="I28" i="341" s="1"/>
  <c r="I29" i="341" s="1"/>
  <c r="I30" i="341" s="1"/>
  <c r="I31" i="341" s="1"/>
  <c r="I32" i="341" s="1"/>
  <c r="I33" i="341" s="1"/>
  <c r="I34" i="341" s="1"/>
  <c r="I35" i="341" s="1"/>
  <c r="I36" i="341" s="1"/>
  <c r="I37" i="341" s="1"/>
  <c r="I38" i="341" s="1"/>
  <c r="I39" i="341" s="1"/>
  <c r="I40" i="341" s="1"/>
  <c r="I41" i="341" s="1"/>
  <c r="I42" i="341" s="1"/>
  <c r="I43" i="341" s="1"/>
  <c r="I44" i="341" s="1"/>
  <c r="I45" i="341" s="1"/>
  <c r="I46" i="341" s="1"/>
  <c r="I47" i="341" s="1"/>
  <c r="I48" i="341" s="1"/>
  <c r="I49" i="341" s="1"/>
  <c r="I50" i="341" s="1"/>
  <c r="I51" i="341" s="1"/>
  <c r="I52" i="341" s="1"/>
  <c r="I5" i="342" s="1"/>
  <c r="I6" i="342" s="1"/>
  <c r="I7" i="342" s="1"/>
  <c r="I8" i="342" s="1"/>
  <c r="I9" i="342" s="1"/>
  <c r="I10" i="342" s="1"/>
  <c r="I11" i="342" s="1"/>
  <c r="I12" i="342" s="1"/>
  <c r="I13" i="342" s="1"/>
  <c r="I14" i="342" s="1"/>
  <c r="I15" i="342" s="1"/>
  <c r="I16" i="342" s="1"/>
  <c r="I17" i="342" s="1"/>
  <c r="I18" i="342" s="1"/>
  <c r="I19" i="342" s="1"/>
  <c r="I20" i="342" s="1"/>
  <c r="I21" i="342" s="1"/>
  <c r="I22" i="342" s="1"/>
  <c r="I23" i="342" s="1"/>
  <c r="I24" i="342" s="1"/>
  <c r="I25" i="342" s="1"/>
  <c r="I26" i="342" s="1"/>
  <c r="I27" i="342" s="1"/>
  <c r="I28" i="342" s="1"/>
  <c r="I29" i="342" s="1"/>
  <c r="I30" i="342" s="1"/>
  <c r="I31" i="342" s="1"/>
  <c r="I32" i="342" s="1"/>
  <c r="I33" i="342" s="1"/>
  <c r="I34" i="342" s="1"/>
  <c r="I35" i="342" s="1"/>
  <c r="I36" i="342" s="1"/>
  <c r="I37" i="342" s="1"/>
  <c r="I38" i="342" s="1"/>
  <c r="I39" i="342" s="1"/>
  <c r="I40" i="342" s="1"/>
  <c r="I41" i="342" s="1"/>
  <c r="I42" i="342" s="1"/>
  <c r="I43" i="342" s="1"/>
  <c r="I44" i="342" s="1"/>
  <c r="I45" i="342" s="1"/>
  <c r="I46" i="342" s="1"/>
  <c r="I47" i="342" s="1"/>
  <c r="I48" i="342" s="1"/>
  <c r="I49" i="342" s="1"/>
  <c r="I50" i="342" s="1"/>
  <c r="I51" i="342" s="1"/>
  <c r="I52" i="342" s="1"/>
  <c r="I5" i="343" s="1"/>
  <c r="I6" i="343" s="1"/>
  <c r="I7" i="343" s="1"/>
  <c r="I8" i="343" s="1"/>
  <c r="I9" i="343" s="1"/>
  <c r="I10" i="343" s="1"/>
  <c r="I11" i="343" s="1"/>
  <c r="I12" i="343" s="1"/>
  <c r="I13" i="343" s="1"/>
  <c r="I14" i="343" s="1"/>
  <c r="I15" i="343" s="1"/>
  <c r="I16" i="343" s="1"/>
  <c r="I17" i="343" s="1"/>
  <c r="I18" i="343" s="1"/>
  <c r="I19" i="343" s="1"/>
  <c r="I20" i="343" s="1"/>
  <c r="I21" i="343" s="1"/>
  <c r="I22" i="343" s="1"/>
  <c r="I23" i="343" s="1"/>
  <c r="I24" i="343" s="1"/>
  <c r="I25" i="343" s="1"/>
  <c r="I26" i="343" s="1"/>
  <c r="I27" i="343" s="1"/>
  <c r="I28" i="343" s="1"/>
  <c r="I29" i="343" s="1"/>
  <c r="I30" i="343" s="1"/>
  <c r="I31" i="343" s="1"/>
  <c r="I32" i="343" s="1"/>
  <c r="I33" i="343" s="1"/>
  <c r="I34" i="343" s="1"/>
  <c r="I35" i="343" s="1"/>
  <c r="I36" i="343" s="1"/>
  <c r="I37" i="343" s="1"/>
  <c r="I38" i="343" s="1"/>
  <c r="I39" i="343" s="1"/>
  <c r="I40" i="343" s="1"/>
  <c r="I41" i="343" s="1"/>
  <c r="I42" i="343" s="1"/>
  <c r="I43" i="343" s="1"/>
  <c r="I44" i="343" s="1"/>
  <c r="I45" i="343" s="1"/>
  <c r="I46" i="343" s="1"/>
  <c r="I47" i="343" s="1"/>
  <c r="I48" i="343" s="1"/>
  <c r="I49" i="343" s="1"/>
  <c r="I50" i="343" s="1"/>
  <c r="I51" i="343" s="1"/>
  <c r="I52" i="343" s="1"/>
  <c r="E6" i="341" l="1"/>
  <c r="E7" i="341" l="1"/>
  <c r="J6" i="341"/>
  <c r="E8" i="341" l="1"/>
  <c r="J7" i="341"/>
  <c r="E9" i="341" l="1"/>
  <c r="J8" i="341"/>
  <c r="J9" i="341" l="1"/>
  <c r="E10" i="341"/>
  <c r="E11" i="341" l="1"/>
  <c r="J10" i="341"/>
  <c r="E12" i="341" l="1"/>
  <c r="J11" i="341"/>
  <c r="E13" i="341" l="1"/>
  <c r="J12" i="341"/>
  <c r="E14" i="341" l="1"/>
  <c r="J13" i="341"/>
  <c r="E15" i="341" l="1"/>
  <c r="J14" i="341"/>
  <c r="E16" i="341" l="1"/>
  <c r="J15" i="341"/>
  <c r="E17" i="341" l="1"/>
  <c r="J16" i="341"/>
  <c r="J17" i="341" l="1"/>
  <c r="E18" i="341"/>
  <c r="E19" i="341" l="1"/>
  <c r="J18" i="341"/>
  <c r="E20" i="341" l="1"/>
  <c r="J19" i="341"/>
  <c r="E21" i="341" l="1"/>
  <c r="J20" i="341"/>
  <c r="E22" i="341" l="1"/>
  <c r="J21" i="341"/>
  <c r="E23" i="341" l="1"/>
  <c r="J22" i="341"/>
  <c r="E24" i="341" l="1"/>
  <c r="J23" i="341"/>
  <c r="E25" i="341" l="1"/>
  <c r="J24" i="341"/>
  <c r="J25" i="341" l="1"/>
  <c r="E26" i="341"/>
  <c r="E27" i="341" l="1"/>
  <c r="J26" i="341"/>
  <c r="E28" i="341" l="1"/>
  <c r="J27" i="341"/>
  <c r="E29" i="341" l="1"/>
  <c r="J28" i="341"/>
  <c r="E30" i="341" l="1"/>
  <c r="J29" i="341"/>
  <c r="E31" i="341" l="1"/>
  <c r="J30" i="341"/>
  <c r="E32" i="341" l="1"/>
  <c r="J31" i="341"/>
  <c r="E33" i="341" l="1"/>
  <c r="J32" i="341"/>
  <c r="J33" i="341" l="1"/>
  <c r="E34" i="341"/>
  <c r="E35" i="341" l="1"/>
  <c r="J34" i="341"/>
  <c r="E36" i="341" l="1"/>
  <c r="J35" i="341"/>
  <c r="E37" i="341" l="1"/>
  <c r="J36" i="341"/>
  <c r="E38" i="341" l="1"/>
  <c r="J37" i="341"/>
  <c r="E39" i="341" l="1"/>
  <c r="J38" i="341"/>
  <c r="E40" i="341" l="1"/>
  <c r="J39" i="341"/>
  <c r="E41" i="341" l="1"/>
  <c r="J40" i="341"/>
  <c r="J41" i="341" l="1"/>
  <c r="E42" i="341"/>
  <c r="E43" i="341" l="1"/>
  <c r="J42" i="341"/>
  <c r="E44" i="341" l="1"/>
  <c r="J43" i="341"/>
  <c r="E45" i="341" l="1"/>
  <c r="J44" i="341"/>
  <c r="E46" i="341" l="1"/>
  <c r="J45" i="341"/>
  <c r="E47" i="341" l="1"/>
  <c r="J46" i="341"/>
  <c r="E48" i="341" l="1"/>
  <c r="J47" i="341"/>
  <c r="E49" i="341" l="1"/>
  <c r="J48" i="341"/>
  <c r="J49" i="341" l="1"/>
  <c r="E50" i="341"/>
  <c r="E51" i="341" l="1"/>
  <c r="J50" i="341"/>
  <c r="E52" i="341" l="1"/>
  <c r="J51" i="341"/>
  <c r="J52" i="341" l="1"/>
  <c r="J5" i="342" s="1"/>
  <c r="E5" i="342"/>
  <c r="E6" i="342" s="1"/>
  <c r="E7" i="342" l="1"/>
  <c r="J6" i="342"/>
  <c r="J7" i="342" l="1"/>
  <c r="E8" i="342"/>
  <c r="J8" i="342" l="1"/>
  <c r="E9" i="342"/>
  <c r="J9" i="342" l="1"/>
  <c r="E10" i="342"/>
  <c r="E11" i="342" l="1"/>
  <c r="J10" i="342"/>
  <c r="J11" i="342" l="1"/>
  <c r="E12" i="342"/>
  <c r="E13" i="342" l="1"/>
  <c r="J12" i="342"/>
  <c r="E14" i="342" l="1"/>
  <c r="J13" i="342"/>
  <c r="E15" i="342" l="1"/>
  <c r="J14" i="342"/>
  <c r="J15" i="342" l="1"/>
  <c r="E16" i="342"/>
  <c r="J16" i="342" l="1"/>
  <c r="E17" i="342"/>
  <c r="J17" i="342" l="1"/>
  <c r="E18" i="342"/>
  <c r="E19" i="342" l="1"/>
  <c r="J18" i="342"/>
  <c r="E20" i="342" l="1"/>
  <c r="J19" i="342"/>
  <c r="E21" i="342" l="1"/>
  <c r="J20" i="342"/>
  <c r="E22" i="342" l="1"/>
  <c r="J21" i="342"/>
  <c r="E23" i="342" l="1"/>
  <c r="J22" i="342"/>
  <c r="E24" i="342" l="1"/>
  <c r="J23" i="342"/>
  <c r="J24" i="342" l="1"/>
  <c r="E25" i="342"/>
  <c r="J25" i="342" l="1"/>
  <c r="E26" i="342"/>
  <c r="E27" i="342" l="1"/>
  <c r="J26" i="342"/>
  <c r="J27" i="342" l="1"/>
  <c r="E28" i="342"/>
  <c r="E29" i="342" l="1"/>
  <c r="J28" i="342"/>
  <c r="E30" i="342" l="1"/>
  <c r="J29" i="342"/>
  <c r="E31" i="342" l="1"/>
  <c r="J30" i="342"/>
  <c r="E32" i="342" l="1"/>
  <c r="J31" i="342"/>
  <c r="J32" i="342" l="1"/>
  <c r="E33" i="342"/>
  <c r="J33" i="342" l="1"/>
  <c r="E34" i="342"/>
  <c r="E35" i="342" l="1"/>
  <c r="J34" i="342"/>
  <c r="E36" i="342" l="1"/>
  <c r="J35" i="342"/>
  <c r="E37" i="342" l="1"/>
  <c r="J36" i="342"/>
  <c r="E38" i="342" l="1"/>
  <c r="J37" i="342"/>
  <c r="E39" i="342" l="1"/>
  <c r="J38" i="342"/>
  <c r="E40" i="342" l="1"/>
  <c r="J39" i="342"/>
  <c r="J40" i="342" l="1"/>
  <c r="E41" i="342"/>
  <c r="J41" i="342" l="1"/>
  <c r="E42" i="342"/>
  <c r="E43" i="342" l="1"/>
  <c r="J42" i="342"/>
  <c r="E44" i="342" l="1"/>
  <c r="J43" i="342"/>
  <c r="E45" i="342" l="1"/>
  <c r="J44" i="342"/>
  <c r="E46" i="342" l="1"/>
  <c r="J45" i="342"/>
  <c r="E47" i="342" l="1"/>
  <c r="J46" i="342"/>
  <c r="E48" i="342" l="1"/>
  <c r="J47" i="342"/>
  <c r="J48" i="342" l="1"/>
  <c r="E49" i="342"/>
  <c r="J49" i="342" l="1"/>
  <c r="E50" i="342"/>
  <c r="E51" i="342" l="1"/>
  <c r="J50" i="342"/>
  <c r="E52" i="342" l="1"/>
  <c r="J51" i="342"/>
  <c r="J52" i="342" l="1"/>
  <c r="J5" i="343" s="1"/>
  <c r="E5" i="343"/>
  <c r="E6" i="343" s="1"/>
  <c r="E7" i="343" l="1"/>
  <c r="J6" i="343"/>
  <c r="E8" i="343" l="1"/>
  <c r="J7" i="343"/>
  <c r="E9" i="343" l="1"/>
  <c r="J8" i="343"/>
  <c r="J9" i="343" l="1"/>
  <c r="E10" i="343"/>
  <c r="E11" i="343" l="1"/>
  <c r="J10" i="343"/>
  <c r="E12" i="343" l="1"/>
  <c r="J11" i="343"/>
  <c r="J12" i="343" l="1"/>
  <c r="E13" i="343"/>
  <c r="E14" i="343" l="1"/>
  <c r="J13" i="343"/>
  <c r="E15" i="343" l="1"/>
  <c r="J14" i="343"/>
  <c r="E16" i="343" l="1"/>
  <c r="J15" i="343"/>
  <c r="E17" i="343" l="1"/>
  <c r="J16" i="343"/>
  <c r="J17" i="343" l="1"/>
  <c r="E18" i="343"/>
  <c r="E19" i="343" l="1"/>
  <c r="J18" i="343"/>
  <c r="E20" i="343" l="1"/>
  <c r="J19" i="343"/>
  <c r="E21" i="343" l="1"/>
  <c r="J20" i="343"/>
  <c r="E22" i="343" l="1"/>
  <c r="J21" i="343"/>
  <c r="E23" i="343" l="1"/>
  <c r="J22" i="343"/>
  <c r="E24" i="343" l="1"/>
  <c r="J23" i="343"/>
  <c r="E25" i="343" l="1"/>
  <c r="J24" i="343"/>
  <c r="J25" i="343" l="1"/>
  <c r="E26" i="343"/>
  <c r="E27" i="343" l="1"/>
  <c r="J26" i="343"/>
  <c r="E28" i="343" l="1"/>
  <c r="J27" i="343"/>
  <c r="J28" i="343" l="1"/>
  <c r="E29" i="343"/>
  <c r="E30" i="343" l="1"/>
  <c r="J29" i="343"/>
  <c r="E31" i="343" l="1"/>
  <c r="J30" i="343"/>
  <c r="E32" i="343" l="1"/>
  <c r="J31" i="343"/>
  <c r="E33" i="343" l="1"/>
  <c r="J32" i="343"/>
  <c r="J33" i="343" l="1"/>
  <c r="E34" i="343"/>
  <c r="E35" i="343" l="1"/>
  <c r="J34" i="343"/>
  <c r="E36" i="343" l="1"/>
  <c r="J35" i="343"/>
  <c r="J36" i="343" l="1"/>
  <c r="E37" i="343"/>
  <c r="E38" i="343" l="1"/>
  <c r="J37" i="343"/>
  <c r="E39" i="343" l="1"/>
  <c r="J38" i="343"/>
  <c r="E40" i="343" l="1"/>
  <c r="J39" i="343"/>
  <c r="E41" i="343" l="1"/>
  <c r="J40" i="343"/>
  <c r="J41" i="343" l="1"/>
  <c r="E42" i="343"/>
  <c r="E43" i="343" l="1"/>
  <c r="J42" i="343"/>
  <c r="E44" i="343" l="1"/>
  <c r="J43" i="343"/>
  <c r="J44" i="343" l="1"/>
  <c r="E45" i="343"/>
  <c r="E46" i="343" l="1"/>
  <c r="J45" i="343"/>
  <c r="E47" i="343" l="1"/>
  <c r="J46" i="343"/>
  <c r="E48" i="343" l="1"/>
  <c r="J47" i="343"/>
  <c r="E49" i="343" l="1"/>
  <c r="J48" i="343"/>
  <c r="J49" i="343" l="1"/>
  <c r="E50" i="343"/>
  <c r="E51" i="343" l="1"/>
  <c r="J50" i="343"/>
  <c r="E52" i="343" l="1"/>
  <c r="J51" i="343"/>
  <c r="J52" i="343" l="1"/>
</calcChain>
</file>

<file path=xl/sharedStrings.xml><?xml version="1.0" encoding="utf-8"?>
<sst xmlns="http://schemas.openxmlformats.org/spreadsheetml/2006/main" count="163" uniqueCount="61">
  <si>
    <t>20</t>
    <phoneticPr fontId="2"/>
  </si>
  <si>
    <t>ASKUL</t>
    <phoneticPr fontId="2"/>
  </si>
  <si>
    <t>1</t>
    <phoneticPr fontId="2"/>
  </si>
  <si>
    <t>4</t>
    <phoneticPr fontId="2"/>
  </si>
  <si>
    <t>日付</t>
    <rPh sb="0" eb="1">
      <t>ヒ</t>
    </rPh>
    <rPh sb="1" eb="2">
      <t>ツ</t>
    </rPh>
    <phoneticPr fontId="2"/>
  </si>
  <si>
    <t>摘要</t>
    <rPh sb="0" eb="2">
      <t>テキヨウ</t>
    </rPh>
    <phoneticPr fontId="2"/>
  </si>
  <si>
    <t>入金</t>
    <rPh sb="0" eb="2">
      <t>ニュウキン</t>
    </rPh>
    <phoneticPr fontId="2"/>
  </si>
  <si>
    <t>出金</t>
    <rPh sb="0" eb="2">
      <t>シュッキン</t>
    </rPh>
    <phoneticPr fontId="2"/>
  </si>
  <si>
    <t>残高</t>
    <rPh sb="0" eb="2">
      <t>ザンダカ</t>
    </rPh>
    <phoneticPr fontId="2"/>
  </si>
  <si>
    <t>銀行残高計</t>
    <rPh sb="0" eb="2">
      <t>ギンコウ</t>
    </rPh>
    <rPh sb="2" eb="4">
      <t>ザンダカ</t>
    </rPh>
    <rPh sb="4" eb="5">
      <t>ケイ</t>
    </rPh>
    <phoneticPr fontId="2"/>
  </si>
  <si>
    <t>給与</t>
    <rPh sb="0" eb="2">
      <t>キュウヨ</t>
    </rPh>
    <phoneticPr fontId="2"/>
  </si>
  <si>
    <t>10</t>
    <phoneticPr fontId="2"/>
  </si>
  <si>
    <t>利息</t>
    <rPh sb="0" eb="2">
      <t>リソク</t>
    </rPh>
    <phoneticPr fontId="2"/>
  </si>
  <si>
    <t>25</t>
    <phoneticPr fontId="2"/>
  </si>
  <si>
    <t>DC</t>
    <phoneticPr fontId="2"/>
  </si>
  <si>
    <t>消費税</t>
    <rPh sb="0" eb="3">
      <t>ショウヒゼイ</t>
    </rPh>
    <phoneticPr fontId="2"/>
  </si>
  <si>
    <t>ＵＦＪ銀行</t>
    <rPh sb="3" eb="5">
      <t>ギンコウ</t>
    </rPh>
    <phoneticPr fontId="2"/>
  </si>
  <si>
    <t>SMBC上前津</t>
    <rPh sb="4" eb="7">
      <t>カミマエヅ</t>
    </rPh>
    <phoneticPr fontId="2"/>
  </si>
  <si>
    <t>融資返済</t>
    <rPh sb="0" eb="2">
      <t>ユウシ</t>
    </rPh>
    <rPh sb="2" eb="4">
      <t>ヘンサイ</t>
    </rPh>
    <phoneticPr fontId="2"/>
  </si>
  <si>
    <t>AFRAC</t>
    <phoneticPr fontId="2"/>
  </si>
  <si>
    <t>ＮＴＴ</t>
    <phoneticPr fontId="2"/>
  </si>
  <si>
    <t>IN</t>
    <phoneticPr fontId="2"/>
  </si>
  <si>
    <t>OUT</t>
    <phoneticPr fontId="2"/>
  </si>
  <si>
    <t>31</t>
    <phoneticPr fontId="2"/>
  </si>
  <si>
    <t>名古屋市証書貸付返済</t>
    <rPh sb="0" eb="4">
      <t>ナゴヤシ</t>
    </rPh>
    <rPh sb="4" eb="6">
      <t>ショウショ</t>
    </rPh>
    <rPh sb="6" eb="8">
      <t>カシツ</t>
    </rPh>
    <rPh sb="8" eb="10">
      <t>ヘンサイ</t>
    </rPh>
    <phoneticPr fontId="2"/>
  </si>
  <si>
    <t>名古屋信用保証貸付返済</t>
    <rPh sb="0" eb="3">
      <t>ナゴヤ</t>
    </rPh>
    <rPh sb="3" eb="5">
      <t>シンヨウ</t>
    </rPh>
    <rPh sb="5" eb="7">
      <t>ホショウ</t>
    </rPh>
    <rPh sb="7" eb="9">
      <t>カシツケ</t>
    </rPh>
    <rPh sb="9" eb="11">
      <t>ヘンサイ</t>
    </rPh>
    <phoneticPr fontId="2"/>
  </si>
  <si>
    <t>TOM保守</t>
    <rPh sb="3" eb="5">
      <t>ホシュ</t>
    </rPh>
    <phoneticPr fontId="2"/>
  </si>
  <si>
    <t>社保</t>
    <rPh sb="0" eb="2">
      <t>シャホ</t>
    </rPh>
    <phoneticPr fontId="2"/>
  </si>
  <si>
    <t>ORIXリース</t>
    <phoneticPr fontId="2"/>
  </si>
  <si>
    <t>TF</t>
    <phoneticPr fontId="2"/>
  </si>
  <si>
    <t>ORIX生命</t>
    <rPh sb="4" eb="6">
      <t>セイメイ</t>
    </rPh>
    <phoneticPr fontId="2"/>
  </si>
  <si>
    <t>特退共(退職金積立）</t>
    <rPh sb="0" eb="1">
      <t>トク</t>
    </rPh>
    <rPh sb="1" eb="2">
      <t>タイキョ</t>
    </rPh>
    <rPh sb="2" eb="3">
      <t>キョウ</t>
    </rPh>
    <rPh sb="4" eb="7">
      <t>タイショクキン</t>
    </rPh>
    <rPh sb="7" eb="9">
      <t>ツミタテ</t>
    </rPh>
    <phoneticPr fontId="2"/>
  </si>
  <si>
    <t>NTT光ネクスト</t>
    <rPh sb="3" eb="4">
      <t>ヒカリ</t>
    </rPh>
    <phoneticPr fontId="2"/>
  </si>
  <si>
    <t>家賃</t>
    <rPh sb="0" eb="2">
      <t>ヤチン</t>
    </rPh>
    <phoneticPr fontId="2"/>
  </si>
  <si>
    <t>会計士</t>
    <rPh sb="0" eb="3">
      <t>カイケイシ</t>
    </rPh>
    <phoneticPr fontId="2"/>
  </si>
  <si>
    <t>金融公庫返済</t>
    <rPh sb="0" eb="2">
      <t>キンユウ</t>
    </rPh>
    <rPh sb="2" eb="4">
      <t>コウコ</t>
    </rPh>
    <rPh sb="4" eb="6">
      <t>ヘンサイ</t>
    </rPh>
    <phoneticPr fontId="2"/>
  </si>
  <si>
    <t>愛知県信用保証貸付返済</t>
    <rPh sb="0" eb="3">
      <t>アイチケン</t>
    </rPh>
    <rPh sb="3" eb="5">
      <t>シンヨウ</t>
    </rPh>
    <rPh sb="5" eb="7">
      <t>ホショウ</t>
    </rPh>
    <rPh sb="7" eb="9">
      <t>カシツケ</t>
    </rPh>
    <rPh sb="9" eb="11">
      <t>ヘンサイ</t>
    </rPh>
    <phoneticPr fontId="2"/>
  </si>
  <si>
    <t>BZ/振込手数料</t>
    <rPh sb="3" eb="5">
      <t>フリコミ</t>
    </rPh>
    <rPh sb="5" eb="8">
      <t>テスウリョウ</t>
    </rPh>
    <phoneticPr fontId="2"/>
  </si>
  <si>
    <t>名古屋市マル境対コロナ</t>
    <rPh sb="0" eb="4">
      <t>ナゴヤシ</t>
    </rPh>
    <rPh sb="6" eb="7">
      <t>サカイ</t>
    </rPh>
    <rPh sb="7" eb="8">
      <t>タイ</t>
    </rPh>
    <phoneticPr fontId="2"/>
  </si>
  <si>
    <t>HMJ-給与・賞与保守</t>
    <rPh sb="4" eb="6">
      <t>キュウヨ</t>
    </rPh>
    <rPh sb="7" eb="9">
      <t>ショウヨ</t>
    </rPh>
    <rPh sb="9" eb="11">
      <t>ホシュ</t>
    </rPh>
    <phoneticPr fontId="2"/>
  </si>
  <si>
    <t>駐車場</t>
    <rPh sb="0" eb="3">
      <t>チュウシャジョウ</t>
    </rPh>
    <phoneticPr fontId="2"/>
  </si>
  <si>
    <r>
      <t>KONICA-COPY:</t>
    </r>
    <r>
      <rPr>
        <b/>
        <sz val="11"/>
        <rFont val="ＭＳ Ｐゴシック"/>
        <family val="3"/>
        <charset val="128"/>
      </rPr>
      <t>24</t>
    </r>
    <phoneticPr fontId="2"/>
  </si>
  <si>
    <r>
      <t>RAKUTENクレカ:</t>
    </r>
    <r>
      <rPr>
        <b/>
        <sz val="11"/>
        <rFont val="ＭＳ Ｐゴシック"/>
        <family val="3"/>
        <charset val="128"/>
      </rPr>
      <t>27</t>
    </r>
    <phoneticPr fontId="2"/>
  </si>
  <si>
    <t>N</t>
    <phoneticPr fontId="2"/>
  </si>
  <si>
    <t>電脳：ジャパレン</t>
    <rPh sb="0" eb="2">
      <t>デンノウ</t>
    </rPh>
    <phoneticPr fontId="2"/>
  </si>
  <si>
    <t>東星-森下</t>
    <rPh sb="0" eb="1">
      <t>トウ</t>
    </rPh>
    <rPh sb="1" eb="2">
      <t>セイ</t>
    </rPh>
    <rPh sb="3" eb="5">
      <t>モリシタ</t>
    </rPh>
    <phoneticPr fontId="2"/>
  </si>
  <si>
    <t>住民税-一宮&amp;刈谷</t>
    <rPh sb="0" eb="3">
      <t>ジュウミンゼイ</t>
    </rPh>
    <rPh sb="4" eb="6">
      <t>イチノミ</t>
    </rPh>
    <rPh sb="7" eb="9">
      <t>カリヤ</t>
    </rPh>
    <phoneticPr fontId="2"/>
  </si>
  <si>
    <t>労働保険</t>
    <rPh sb="0" eb="4">
      <t>ロウドウ</t>
    </rPh>
    <phoneticPr fontId="2"/>
  </si>
  <si>
    <t>光SYS-TPV</t>
    <rPh sb="0" eb="4">
      <t>ヒカリ</t>
    </rPh>
    <phoneticPr fontId="2"/>
  </si>
  <si>
    <t>社保:延滞金</t>
    <rPh sb="0" eb="2">
      <t>シャホ</t>
    </rPh>
    <rPh sb="3" eb="6">
      <t>エンタイキン</t>
    </rPh>
    <phoneticPr fontId="2"/>
  </si>
  <si>
    <t>三菱UFJニコスカード？</t>
    <rPh sb="0" eb="2">
      <t>ミツビシ</t>
    </rPh>
    <phoneticPr fontId="2"/>
  </si>
  <si>
    <t>JCC空袋PC３台SBC&amp;S</t>
    <rPh sb="3" eb="5">
      <t>クウタイ</t>
    </rPh>
    <rPh sb="8" eb="9">
      <t>ダイ</t>
    </rPh>
    <phoneticPr fontId="2"/>
  </si>
  <si>
    <t>JCC-検査データMVR対応</t>
    <rPh sb="4" eb="6">
      <t>ケンサ</t>
    </rPh>
    <rPh sb="12" eb="14">
      <t>タイオウ</t>
    </rPh>
    <phoneticPr fontId="2"/>
  </si>
  <si>
    <t>SKｼｽﾃﾑ:KeikoG-202506</t>
    <phoneticPr fontId="2"/>
  </si>
  <si>
    <t>SKｼｽﾃﾑ:KeikoG-202507</t>
  </si>
  <si>
    <t>Hikari-SYS</t>
    <phoneticPr fontId="2"/>
  </si>
  <si>
    <t>HMJ-</t>
    <phoneticPr fontId="2"/>
  </si>
  <si>
    <t>小口現金</t>
    <rPh sb="2" eb="4">
      <t>ゲンキン</t>
    </rPh>
    <phoneticPr fontId="2"/>
  </si>
  <si>
    <t>ATM手数料</t>
    <rPh sb="3" eb="6">
      <t>テスウリョウ</t>
    </rPh>
    <phoneticPr fontId="2"/>
  </si>
  <si>
    <t>利息</t>
    <rPh sb="0" eb="2">
      <t>リソク</t>
    </rPh>
    <phoneticPr fontId="2"/>
  </si>
  <si>
    <t>伊勢昆布-弥生連携</t>
    <rPh sb="0" eb="2">
      <t>イセ</t>
    </rPh>
    <rPh sb="2" eb="4">
      <t>コンブ</t>
    </rPh>
    <rPh sb="5" eb="7">
      <t>ヤヨイ</t>
    </rPh>
    <rPh sb="7" eb="9">
      <t>レンケイ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</si>
</sst>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!\,##0_ ;[Red]&quot;¥&quot;\!\-#\!\,##0&quot;¥&quot;\!\ "/>
    <numFmt numFmtId="178" formatCode="#,##0_);[Red]\(#,##0\)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i/>
      <sz val="11"/>
      <name val="ＭＳ Ｐゴシック"/>
      <family val="3"/>
      <charset val="128"/>
    </font>
    <font>
      <u/>
      <sz val="11"/>
      <name val="ＭＳ Ｐゴシック"/>
      <family val="3"/>
      <charset val="128"/>
    </font>
    <font>
      <b/>
      <i/>
      <sz val="11"/>
      <color rgb="FFFF00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lightGray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</patternFill>
    </fill>
  </fills>
  <borders count="3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5" fillId="0" borderId="0">
      <alignment vertical="center"/>
    </xf>
    <xf numFmtId="0" fontId="12" fillId="17" borderId="0" applyNumberFormat="0" applyBorder="0" applyAlignment="0" applyProtection="0">
      <alignment vertical="center"/>
    </xf>
  </cellStyleXfs>
  <cellXfs count="121">
    <xf numFmtId="0" fontId="0" fillId="0" borderId="0" xfId="0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3" fontId="0" fillId="0" borderId="0" xfId="0" applyNumberFormat="1"/>
    <xf numFmtId="49" fontId="0" fillId="2" borderId="18" xfId="0" applyNumberFormat="1" applyFill="1" applyBorder="1"/>
    <xf numFmtId="0" fontId="0" fillId="2" borderId="11" xfId="0" applyFill="1" applyBorder="1" applyAlignment="1">
      <alignment horizontal="center"/>
    </xf>
    <xf numFmtId="38" fontId="0" fillId="0" borderId="0" xfId="0" applyNumberFormat="1"/>
    <xf numFmtId="0" fontId="0" fillId="2" borderId="26" xfId="0" applyFill="1" applyBorder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0" fillId="2" borderId="18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38" fontId="0" fillId="0" borderId="25" xfId="1" applyFont="1" applyBorder="1"/>
    <xf numFmtId="38" fontId="0" fillId="0" borderId="12" xfId="1" applyFont="1" applyBorder="1"/>
    <xf numFmtId="38" fontId="0" fillId="0" borderId="1" xfId="1" applyFont="1" applyBorder="1"/>
    <xf numFmtId="38" fontId="0" fillId="0" borderId="3" xfId="1" applyFont="1" applyBorder="1"/>
    <xf numFmtId="38" fontId="0" fillId="0" borderId="9" xfId="1" applyFont="1" applyBorder="1"/>
    <xf numFmtId="38" fontId="0" fillId="0" borderId="12" xfId="0" applyNumberFormat="1" applyBorder="1"/>
    <xf numFmtId="49" fontId="0" fillId="0" borderId="19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38" fontId="0" fillId="0" borderId="27" xfId="1" applyFont="1" applyBorder="1"/>
    <xf numFmtId="38" fontId="0" fillId="0" borderId="17" xfId="1" applyFont="1" applyBorder="1"/>
    <xf numFmtId="38" fontId="0" fillId="0" borderId="4" xfId="1" applyFont="1" applyBorder="1"/>
    <xf numFmtId="38" fontId="0" fillId="0" borderId="6" xfId="1" applyFont="1" applyBorder="1"/>
    <xf numFmtId="49" fontId="0" fillId="0" borderId="19" xfId="0" applyNumberFormat="1" applyBorder="1" applyAlignment="1">
      <alignment horizontal="center"/>
    </xf>
    <xf numFmtId="38" fontId="0" fillId="0" borderId="11" xfId="1" applyFont="1" applyBorder="1"/>
    <xf numFmtId="38" fontId="0" fillId="0" borderId="3" xfId="1" applyFont="1" applyFill="1" applyBorder="1" applyAlignment="1">
      <alignment horizontal="left"/>
    </xf>
    <xf numFmtId="38" fontId="0" fillId="0" borderId="1" xfId="1" applyFont="1" applyFill="1" applyBorder="1"/>
    <xf numFmtId="38" fontId="0" fillId="0" borderId="3" xfId="1" applyFont="1" applyFill="1" applyBorder="1"/>
    <xf numFmtId="38" fontId="7" fillId="0" borderId="3" xfId="1" applyFont="1" applyBorder="1" applyAlignment="1">
      <alignment horizontal="left"/>
    </xf>
    <xf numFmtId="0" fontId="0" fillId="0" borderId="2" xfId="0" applyBorder="1"/>
    <xf numFmtId="38" fontId="0" fillId="4" borderId="20" xfId="1" applyFont="1" applyFill="1" applyBorder="1" applyAlignment="1">
      <alignment horizontal="left"/>
    </xf>
    <xf numFmtId="38" fontId="0" fillId="4" borderId="25" xfId="1" applyFont="1" applyFill="1" applyBorder="1"/>
    <xf numFmtId="3" fontId="0" fillId="0" borderId="25" xfId="0" applyNumberFormat="1" applyBorder="1"/>
    <xf numFmtId="38" fontId="0" fillId="6" borderId="20" xfId="1" applyFont="1" applyFill="1" applyBorder="1" applyAlignment="1">
      <alignment horizontal="left"/>
    </xf>
    <xf numFmtId="38" fontId="0" fillId="6" borderId="25" xfId="1" applyFont="1" applyFill="1" applyBorder="1"/>
    <xf numFmtId="38" fontId="0" fillId="3" borderId="20" xfId="1" applyFont="1" applyFill="1" applyBorder="1" applyAlignment="1">
      <alignment horizontal="left"/>
    </xf>
    <xf numFmtId="38" fontId="0" fillId="3" borderId="25" xfId="1" applyFont="1" applyFill="1" applyBorder="1"/>
    <xf numFmtId="38" fontId="0" fillId="9" borderId="25" xfId="1" applyFont="1" applyFill="1" applyBorder="1"/>
    <xf numFmtId="38" fontId="0" fillId="0" borderId="3" xfId="1" applyFont="1" applyBorder="1" applyAlignment="1">
      <alignment horizontal="left"/>
    </xf>
    <xf numFmtId="38" fontId="0" fillId="0" borderId="0" xfId="1" applyFont="1" applyBorder="1"/>
    <xf numFmtId="38" fontId="3" fillId="0" borderId="3" xfId="1" applyFont="1" applyBorder="1" applyAlignment="1">
      <alignment horizontal="left"/>
    </xf>
    <xf numFmtId="38" fontId="7" fillId="0" borderId="1" xfId="1" applyFont="1" applyBorder="1"/>
    <xf numFmtId="0" fontId="0" fillId="5" borderId="14" xfId="0" applyFill="1" applyBorder="1" applyAlignment="1">
      <alignment horizontal="left"/>
    </xf>
    <xf numFmtId="0" fontId="0" fillId="5" borderId="25" xfId="0" applyFill="1" applyBorder="1"/>
    <xf numFmtId="3" fontId="0" fillId="5" borderId="25" xfId="0" applyNumberFormat="1" applyFill="1" applyBorder="1"/>
    <xf numFmtId="38" fontId="0" fillId="5" borderId="20" xfId="0" applyNumberFormat="1" applyFill="1" applyBorder="1" applyAlignment="1">
      <alignment horizontal="left"/>
    </xf>
    <xf numFmtId="38" fontId="0" fillId="5" borderId="25" xfId="1" applyFont="1" applyFill="1" applyBorder="1"/>
    <xf numFmtId="0" fontId="0" fillId="3" borderId="20" xfId="0" applyFill="1" applyBorder="1" applyAlignment="1">
      <alignment horizontal="left"/>
    </xf>
    <xf numFmtId="0" fontId="0" fillId="3" borderId="25" xfId="0" applyFill="1" applyBorder="1"/>
    <xf numFmtId="3" fontId="0" fillId="3" borderId="25" xfId="0" applyNumberFormat="1" applyFill="1" applyBorder="1"/>
    <xf numFmtId="38" fontId="0" fillId="7" borderId="20" xfId="1" applyFont="1" applyFill="1" applyBorder="1" applyAlignment="1">
      <alignment horizontal="left"/>
    </xf>
    <xf numFmtId="38" fontId="0" fillId="7" borderId="25" xfId="1" applyFont="1" applyFill="1" applyBorder="1"/>
    <xf numFmtId="49" fontId="0" fillId="0" borderId="20" xfId="0" applyNumberFormat="1" applyBorder="1" applyAlignment="1">
      <alignment horizontal="center"/>
    </xf>
    <xf numFmtId="38" fontId="8" fillId="0" borderId="3" xfId="1" applyFont="1" applyFill="1" applyBorder="1" applyAlignment="1">
      <alignment horizontal="left"/>
    </xf>
    <xf numFmtId="38" fontId="0" fillId="0" borderId="20" xfId="1" applyFont="1" applyFill="1" applyBorder="1" applyAlignment="1">
      <alignment horizontal="left"/>
    </xf>
    <xf numFmtId="38" fontId="0" fillId="0" borderId="25" xfId="1" applyFont="1" applyFill="1" applyBorder="1"/>
    <xf numFmtId="38" fontId="0" fillId="5" borderId="0" xfId="1" applyFont="1" applyFill="1" applyBorder="1"/>
    <xf numFmtId="38" fontId="0" fillId="5" borderId="1" xfId="1" applyFont="1" applyFill="1" applyBorder="1"/>
    <xf numFmtId="0" fontId="0" fillId="0" borderId="28" xfId="0" applyBorder="1"/>
    <xf numFmtId="38" fontId="0" fillId="0" borderId="29" xfId="1" applyFont="1" applyBorder="1"/>
    <xf numFmtId="0" fontId="0" fillId="0" borderId="15" xfId="0" applyBorder="1" applyAlignment="1">
      <alignment horizontal="left"/>
    </xf>
    <xf numFmtId="0" fontId="0" fillId="0" borderId="13" xfId="0" applyBorder="1"/>
    <xf numFmtId="38" fontId="0" fillId="0" borderId="10" xfId="1" applyFont="1" applyBorder="1"/>
    <xf numFmtId="38" fontId="0" fillId="0" borderId="22" xfId="0" applyNumberFormat="1" applyBorder="1"/>
    <xf numFmtId="3" fontId="0" fillId="0" borderId="0" xfId="0" applyNumberFormat="1" applyAlignment="1">
      <alignment horizontal="left"/>
    </xf>
    <xf numFmtId="3" fontId="0" fillId="0" borderId="0" xfId="1" applyNumberFormat="1" applyFont="1" applyFill="1" applyBorder="1"/>
    <xf numFmtId="38" fontId="0" fillId="0" borderId="0" xfId="1" applyFont="1" applyFill="1" applyBorder="1"/>
    <xf numFmtId="3" fontId="4" fillId="0" borderId="0" xfId="0" applyNumberFormat="1" applyFont="1" applyAlignment="1">
      <alignment horizontal="left"/>
    </xf>
    <xf numFmtId="3" fontId="4" fillId="0" borderId="0" xfId="1" applyNumberFormat="1" applyFont="1" applyFill="1" applyBorder="1"/>
    <xf numFmtId="3" fontId="3" fillId="3" borderId="2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3" fillId="0" borderId="21" xfId="0" applyNumberFormat="1" applyFont="1" applyBorder="1"/>
    <xf numFmtId="176" fontId="0" fillId="0" borderId="0" xfId="0" applyNumberFormat="1"/>
    <xf numFmtId="176" fontId="0" fillId="0" borderId="0" xfId="1" applyNumberFormat="1" applyFont="1" applyFill="1" applyBorder="1"/>
    <xf numFmtId="38" fontId="1" fillId="8" borderId="25" xfId="1" applyFont="1" applyFill="1" applyBorder="1"/>
    <xf numFmtId="49" fontId="0" fillId="0" borderId="22" xfId="0" applyNumberFormat="1" applyBorder="1" applyAlignment="1">
      <alignment horizontal="center"/>
    </xf>
    <xf numFmtId="38" fontId="0" fillId="8" borderId="14" xfId="1" applyFont="1" applyFill="1" applyBorder="1" applyAlignment="1">
      <alignment horizontal="left"/>
    </xf>
    <xf numFmtId="38" fontId="0" fillId="9" borderId="14" xfId="1" applyFont="1" applyFill="1" applyBorder="1" applyAlignment="1">
      <alignment horizontal="left"/>
    </xf>
    <xf numFmtId="0" fontId="0" fillId="0" borderId="30" xfId="0" applyBorder="1"/>
    <xf numFmtId="38" fontId="1" fillId="0" borderId="25" xfId="1" applyFont="1" applyFill="1" applyBorder="1"/>
    <xf numFmtId="3" fontId="0" fillId="12" borderId="14" xfId="0" applyNumberFormat="1" applyFill="1" applyBorder="1" applyAlignment="1">
      <alignment horizontal="left"/>
    </xf>
    <xf numFmtId="3" fontId="0" fillId="12" borderId="25" xfId="0" applyNumberFormat="1" applyFill="1" applyBorder="1"/>
    <xf numFmtId="38" fontId="0" fillId="11" borderId="20" xfId="1" applyFont="1" applyFill="1" applyBorder="1" applyAlignment="1">
      <alignment horizontal="left"/>
    </xf>
    <xf numFmtId="38" fontId="0" fillId="11" borderId="25" xfId="1" applyFont="1" applyFill="1" applyBorder="1"/>
    <xf numFmtId="38" fontId="0" fillId="12" borderId="25" xfId="1" applyFont="1" applyFill="1" applyBorder="1"/>
    <xf numFmtId="38" fontId="0" fillId="12" borderId="20" xfId="1" applyFont="1" applyFill="1" applyBorder="1" applyAlignment="1">
      <alignment horizontal="left"/>
    </xf>
    <xf numFmtId="0" fontId="0" fillId="12" borderId="20" xfId="0" applyFill="1" applyBorder="1" applyAlignment="1">
      <alignment horizontal="left"/>
    </xf>
    <xf numFmtId="38" fontId="0" fillId="0" borderId="19" xfId="0" applyNumberFormat="1" applyBorder="1"/>
    <xf numFmtId="38" fontId="0" fillId="8" borderId="23" xfId="1" applyFont="1" applyFill="1" applyBorder="1"/>
    <xf numFmtId="38" fontId="6" fillId="0" borderId="31" xfId="1" applyFont="1" applyFill="1" applyBorder="1" applyAlignment="1">
      <alignment horizontal="left"/>
    </xf>
    <xf numFmtId="38" fontId="3" fillId="8" borderId="14" xfId="1" applyFont="1" applyFill="1" applyBorder="1" applyAlignment="1">
      <alignment horizontal="left"/>
    </xf>
    <xf numFmtId="38" fontId="3" fillId="0" borderId="14" xfId="1" applyFont="1" applyFill="1" applyBorder="1" applyAlignment="1">
      <alignment horizontal="left"/>
    </xf>
    <xf numFmtId="38" fontId="3" fillId="0" borderId="25" xfId="1" applyFont="1" applyFill="1" applyBorder="1"/>
    <xf numFmtId="3" fontId="9" fillId="0" borderId="25" xfId="0" applyNumberFormat="1" applyFont="1" applyBorder="1"/>
    <xf numFmtId="38" fontId="0" fillId="0" borderId="14" xfId="1" applyFont="1" applyFill="1" applyBorder="1" applyAlignment="1">
      <alignment horizontal="left"/>
    </xf>
    <xf numFmtId="38" fontId="3" fillId="0" borderId="20" xfId="1" applyFont="1" applyFill="1" applyBorder="1" applyAlignment="1">
      <alignment horizontal="left"/>
    </xf>
    <xf numFmtId="38" fontId="6" fillId="0" borderId="3" xfId="1" applyFont="1" applyFill="1" applyBorder="1" applyAlignment="1">
      <alignment horizontal="left"/>
    </xf>
    <xf numFmtId="38" fontId="6" fillId="0" borderId="1" xfId="1" applyFont="1" applyFill="1" applyBorder="1"/>
    <xf numFmtId="38" fontId="3" fillId="10" borderId="20" xfId="1" applyFont="1" applyFill="1" applyBorder="1" applyAlignment="1">
      <alignment horizontal="left"/>
    </xf>
    <xf numFmtId="38" fontId="3" fillId="10" borderId="25" xfId="1" applyFont="1" applyFill="1" applyBorder="1"/>
    <xf numFmtId="38" fontId="0" fillId="0" borderId="19" xfId="1" applyFont="1" applyFill="1" applyBorder="1" applyAlignment="1">
      <alignment horizontal="left"/>
    </xf>
    <xf numFmtId="49" fontId="3" fillId="0" borderId="24" xfId="0" applyNumberFormat="1" applyFont="1" applyBorder="1"/>
    <xf numFmtId="38" fontId="0" fillId="13" borderId="25" xfId="1" applyFont="1" applyFill="1" applyBorder="1"/>
    <xf numFmtId="178" fontId="0" fillId="0" borderId="0" xfId="0" applyNumberFormat="1"/>
    <xf numFmtId="38" fontId="1" fillId="0" borderId="20" xfId="1" applyFont="1" applyFill="1" applyBorder="1" applyAlignment="1">
      <alignment horizontal="left"/>
    </xf>
    <xf numFmtId="38" fontId="0" fillId="14" borderId="20" xfId="1" applyFont="1" applyFill="1" applyBorder="1" applyAlignment="1">
      <alignment horizontal="left"/>
    </xf>
    <xf numFmtId="38" fontId="0" fillId="14" borderId="25" xfId="1" applyFont="1" applyFill="1" applyBorder="1"/>
    <xf numFmtId="38" fontId="0" fillId="13" borderId="20" xfId="1" applyFont="1" applyFill="1" applyBorder="1" applyAlignment="1">
      <alignment horizontal="left"/>
    </xf>
    <xf numFmtId="3" fontId="0" fillId="13" borderId="25" xfId="0" applyNumberFormat="1" applyFill="1" applyBorder="1"/>
    <xf numFmtId="38" fontId="10" fillId="11" borderId="20" xfId="1" applyFont="1" applyFill="1" applyBorder="1" applyAlignment="1">
      <alignment horizontal="left"/>
    </xf>
    <xf numFmtId="38" fontId="10" fillId="11" borderId="25" xfId="1" applyFont="1" applyFill="1" applyBorder="1"/>
    <xf numFmtId="38" fontId="11" fillId="11" borderId="20" xfId="1" applyFont="1" applyFill="1" applyBorder="1" applyAlignment="1">
      <alignment horizontal="left"/>
    </xf>
    <xf numFmtId="38" fontId="11" fillId="11" borderId="25" xfId="1" applyFont="1" applyFill="1" applyBorder="1"/>
    <xf numFmtId="38" fontId="0" fillId="15" borderId="20" xfId="1" applyFont="1" applyFill="1" applyBorder="1" applyAlignment="1">
      <alignment horizontal="left"/>
    </xf>
    <xf numFmtId="38" fontId="0" fillId="15" borderId="25" xfId="1" applyFont="1" applyFill="1" applyBorder="1"/>
    <xf numFmtId="38" fontId="0" fillId="16" borderId="14" xfId="1" applyFont="1" applyFill="1" applyBorder="1" applyAlignment="1">
      <alignment horizontal="left"/>
    </xf>
    <xf numFmtId="38" fontId="0" fillId="16" borderId="25" xfId="1" applyFont="1" applyFill="1" applyBorder="1"/>
  </cellXfs>
  <cellStyles count="4">
    <cellStyle name="アクセント 6 2" xfId="3" xr:uid="{41F1A000-C0A2-47B7-9151-1115D1DD376D}"/>
    <cellStyle name="桁区切り" xfId="1" builtinId="6"/>
    <cellStyle name="標準" xfId="0" builtinId="0"/>
    <cellStyle name="標準 2_試算表　H23 4月分　CTEJ改修" xfId="2" xr:uid="{00000000-0005-0000-0000-000002000000}"/>
  </cellStyles>
  <dxfs count="0"/>
  <tableStyles count="0" defaultTableStyle="TableStyleMedium9" defaultPivotStyle="PivotStyleLight16"/>
  <colors>
    <mruColors>
      <color rgb="FF00FFFF"/>
      <color rgb="FF99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showZeros="0" showOutlineSymbols="0" topLeftCell="B6" zoomScaleNormal="60" zoomScaleSheetLayoutView="4" workbookViewId="0"/>
  </sheetViews>
  <sheetFormatPr defaultRowHeight="13.5" x14ac:dyDescent="0.15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showRowColHeaders="0" showZeros="0" showOutlineSymbols="0" topLeftCell="B1" zoomScaleNormal="4" zoomScaleSheetLayoutView="4" workbookViewId="0"/>
  </sheetViews>
  <sheetFormatPr defaultRowHeight="13.5" x14ac:dyDescent="0.15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showRowColHeaders="0" showZeros="0" showOutlineSymbols="0" topLeftCell="B1" zoomScaleNormal="4" zoomScaleSheetLayoutView="4" workbookViewId="0"/>
  </sheetViews>
  <sheetFormatPr defaultRowHeight="13.5" x14ac:dyDescent="0.15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showRowColHeaders="0" showZeros="0" showOutlineSymbols="0" topLeftCell="B1" zoomScaleNormal="208" zoomScaleSheetLayoutView="68" workbookViewId="0"/>
  </sheetViews>
  <sheetFormatPr defaultRowHeight="13.5" x14ac:dyDescent="0.15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showRowColHeaders="0" showZeros="0" showOutlineSymbols="0" topLeftCell="B83" zoomScaleNormal="52" zoomScaleSheetLayoutView="70" workbookViewId="0"/>
  </sheetViews>
  <sheetFormatPr defaultRowHeight="13.5" x14ac:dyDescent="0.15"/>
  <sheetData/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E031-6B94-45B8-8D37-16EFBD8091A1}">
  <dimension ref="A1:J58"/>
  <sheetViews>
    <sheetView tabSelected="1" topLeftCell="A22" zoomScaleNormal="100" workbookViewId="0">
      <selection activeCell="O30" sqref="O30"/>
    </sheetView>
  </sheetViews>
  <sheetFormatPr defaultColWidth="9" defaultRowHeight="13.5" x14ac:dyDescent="0.15"/>
  <cols>
    <col min="1" max="1" width="5" style="4" customWidth="1"/>
    <col min="2" max="2" width="20.625" style="3" customWidth="1"/>
    <col min="3" max="5" width="13.375" customWidth="1"/>
    <col min="6" max="6" width="8.375" style="3" customWidth="1"/>
    <col min="7" max="9" width="10" customWidth="1"/>
    <col min="10" max="10" width="11.375" bestFit="1" customWidth="1"/>
  </cols>
  <sheetData>
    <row r="1" spans="1:10" x14ac:dyDescent="0.15">
      <c r="A1" s="11" t="s">
        <v>16</v>
      </c>
      <c r="F1" s="10" t="s">
        <v>17</v>
      </c>
      <c r="J1" s="10" t="str">
        <f ca="1">RIGHT(CELL("filename",A1),LEN(CELL("filename",A1))-FIND("]",CELL("filename",A1)))</f>
        <v>25'06月</v>
      </c>
    </row>
    <row r="2" spans="1:10" x14ac:dyDescent="0.15">
      <c r="A2" s="105"/>
      <c r="G2" s="10"/>
    </row>
    <row r="3" spans="1:10" x14ac:dyDescent="0.15">
      <c r="A3" s="6" t="s">
        <v>4</v>
      </c>
      <c r="B3" s="12" t="s">
        <v>5</v>
      </c>
      <c r="C3" s="9" t="s">
        <v>6</v>
      </c>
      <c r="D3" s="9" t="s">
        <v>7</v>
      </c>
      <c r="E3" s="7" t="s">
        <v>8</v>
      </c>
      <c r="F3" s="13" t="s">
        <v>5</v>
      </c>
      <c r="G3" s="1" t="s">
        <v>6</v>
      </c>
      <c r="H3" s="1" t="s">
        <v>7</v>
      </c>
      <c r="I3" s="2" t="s">
        <v>8</v>
      </c>
      <c r="J3" s="14" t="s">
        <v>9</v>
      </c>
    </row>
    <row r="4" spans="1:10" x14ac:dyDescent="0.15">
      <c r="A4" s="104"/>
      <c r="C4" s="15"/>
      <c r="D4" s="15"/>
      <c r="E4" s="16"/>
      <c r="G4" s="17"/>
      <c r="H4" s="18"/>
      <c r="I4" s="19"/>
      <c r="J4" s="67"/>
    </row>
    <row r="5" spans="1:10" x14ac:dyDescent="0.15">
      <c r="A5" s="21"/>
      <c r="B5" s="22"/>
      <c r="C5" s="23">
        <f>SUM(C4:C4)</f>
        <v>0</v>
      </c>
      <c r="D5" s="23">
        <f>SUM(D4:D4)</f>
        <v>0</v>
      </c>
      <c r="E5" s="24">
        <v>2695329.5</v>
      </c>
      <c r="F5" s="22"/>
      <c r="G5" s="25"/>
      <c r="H5" s="26"/>
      <c r="I5" s="24">
        <v>27338</v>
      </c>
      <c r="J5" s="67">
        <v>2722668</v>
      </c>
    </row>
    <row r="6" spans="1:10" x14ac:dyDescent="0.15">
      <c r="A6" s="27" t="s">
        <v>2</v>
      </c>
      <c r="B6" s="46" t="s">
        <v>25</v>
      </c>
      <c r="C6" s="47"/>
      <c r="D6" s="48">
        <v>5892</v>
      </c>
      <c r="E6" s="28">
        <f>E5+C6-D6</f>
        <v>2689437.5</v>
      </c>
      <c r="F6" s="29"/>
      <c r="G6" s="30"/>
      <c r="H6" s="31"/>
      <c r="I6" s="19">
        <f>I5+G6-H6</f>
        <v>27338</v>
      </c>
      <c r="J6" s="20">
        <f>SUM(E6,I6)</f>
        <v>2716775.5</v>
      </c>
    </row>
    <row r="7" spans="1:10" x14ac:dyDescent="0.15">
      <c r="A7" s="27" t="s">
        <v>3</v>
      </c>
      <c r="B7" s="49" t="s">
        <v>24</v>
      </c>
      <c r="C7" s="47"/>
      <c r="D7" s="48">
        <v>7422</v>
      </c>
      <c r="E7" s="16">
        <f>E6+C7-D7</f>
        <v>2682015.5</v>
      </c>
      <c r="F7" s="32"/>
      <c r="G7" s="33"/>
      <c r="H7" s="17"/>
      <c r="I7" s="19">
        <f>I6+G7-H7</f>
        <v>27338</v>
      </c>
      <c r="J7" s="20">
        <f>SUM(E7,I7)</f>
        <v>2709353.5</v>
      </c>
    </row>
    <row r="8" spans="1:10" x14ac:dyDescent="0.15">
      <c r="A8" s="27" t="s">
        <v>11</v>
      </c>
      <c r="B8" s="49" t="s">
        <v>36</v>
      </c>
      <c r="C8" s="47"/>
      <c r="D8" s="48">
        <v>11137</v>
      </c>
      <c r="E8" s="16">
        <f t="shared" ref="E8:E52" si="0">E7+C8-D8</f>
        <v>2670878.5</v>
      </c>
      <c r="F8" s="32"/>
      <c r="G8" s="33"/>
      <c r="H8" s="17"/>
      <c r="I8" s="19">
        <f t="shared" ref="I8:I52" si="1">I7+G8-H8</f>
        <v>27338</v>
      </c>
      <c r="J8" s="20">
        <f t="shared" ref="J8:J52" si="2">SUM(E8,I8)</f>
        <v>2698216.5</v>
      </c>
    </row>
    <row r="9" spans="1:10" x14ac:dyDescent="0.15">
      <c r="A9" s="27"/>
      <c r="B9" s="46" t="s">
        <v>38</v>
      </c>
      <c r="C9" s="47"/>
      <c r="D9" s="48">
        <v>13953</v>
      </c>
      <c r="E9" s="16">
        <f t="shared" si="0"/>
        <v>2656925.5</v>
      </c>
      <c r="F9" s="32"/>
      <c r="G9" s="33"/>
      <c r="H9" s="17"/>
      <c r="I9" s="19">
        <f t="shared" si="1"/>
        <v>27338</v>
      </c>
      <c r="J9" s="20">
        <f t="shared" si="2"/>
        <v>2684263.5</v>
      </c>
    </row>
    <row r="10" spans="1:10" x14ac:dyDescent="0.15">
      <c r="A10" s="27"/>
      <c r="B10" s="49" t="s">
        <v>35</v>
      </c>
      <c r="C10" s="50"/>
      <c r="D10" s="50">
        <v>9753</v>
      </c>
      <c r="E10" s="16">
        <f t="shared" si="0"/>
        <v>2647172.5</v>
      </c>
      <c r="F10" s="32"/>
      <c r="G10" s="33"/>
      <c r="H10" s="17"/>
      <c r="I10" s="19">
        <f t="shared" si="1"/>
        <v>27338</v>
      </c>
      <c r="J10" s="91">
        <f t="shared" si="2"/>
        <v>2674510.5</v>
      </c>
    </row>
    <row r="11" spans="1:10" x14ac:dyDescent="0.15">
      <c r="A11" s="27"/>
      <c r="B11" s="39" t="s">
        <v>20</v>
      </c>
      <c r="C11" s="40"/>
      <c r="D11" s="40">
        <v>28722</v>
      </c>
      <c r="E11" s="16">
        <f t="shared" si="0"/>
        <v>2618450.5</v>
      </c>
      <c r="F11" s="32"/>
      <c r="G11" s="33"/>
      <c r="H11" s="17"/>
      <c r="I11" s="19">
        <f t="shared" si="1"/>
        <v>27338</v>
      </c>
      <c r="J11" s="91">
        <f t="shared" si="2"/>
        <v>2645788.5</v>
      </c>
    </row>
    <row r="12" spans="1:10" x14ac:dyDescent="0.15">
      <c r="A12" s="27"/>
      <c r="B12" s="80" t="s">
        <v>26</v>
      </c>
      <c r="C12" s="92">
        <v>66000</v>
      </c>
      <c r="D12" s="36">
        <v>385</v>
      </c>
      <c r="E12" s="16">
        <f t="shared" si="0"/>
        <v>2684065.5</v>
      </c>
      <c r="F12" s="32"/>
      <c r="G12" s="33"/>
      <c r="H12" s="17"/>
      <c r="I12" s="19">
        <f t="shared" si="1"/>
        <v>27338</v>
      </c>
      <c r="J12" s="91">
        <f t="shared" si="2"/>
        <v>2711403.5</v>
      </c>
    </row>
    <row r="13" spans="1:10" x14ac:dyDescent="0.15">
      <c r="A13" s="27"/>
      <c r="B13" s="84" t="s">
        <v>29</v>
      </c>
      <c r="C13" s="85"/>
      <c r="D13" s="85">
        <v>29150</v>
      </c>
      <c r="E13" s="16">
        <f t="shared" si="0"/>
        <v>2654915.5</v>
      </c>
      <c r="F13" s="32"/>
      <c r="G13" s="33"/>
      <c r="H13" s="17"/>
      <c r="I13" s="19">
        <f t="shared" si="1"/>
        <v>27338</v>
      </c>
      <c r="J13" s="91">
        <f t="shared" si="2"/>
        <v>2682253.5</v>
      </c>
    </row>
    <row r="14" spans="1:10" x14ac:dyDescent="0.15">
      <c r="A14" s="27" t="s">
        <v>0</v>
      </c>
      <c r="B14" s="113" t="s">
        <v>44</v>
      </c>
      <c r="C14" s="114">
        <v>9900000</v>
      </c>
      <c r="D14" s="59"/>
      <c r="E14" s="16">
        <f t="shared" si="0"/>
        <v>12554915.5</v>
      </c>
      <c r="F14" s="32"/>
      <c r="G14" s="33"/>
      <c r="H14" s="17"/>
      <c r="I14" s="19">
        <f t="shared" si="1"/>
        <v>27338</v>
      </c>
      <c r="J14" s="91">
        <f t="shared" si="2"/>
        <v>12582253.5</v>
      </c>
    </row>
    <row r="15" spans="1:10" x14ac:dyDescent="0.15">
      <c r="A15" s="27"/>
      <c r="B15" s="89" t="s">
        <v>14</v>
      </c>
      <c r="C15" s="88"/>
      <c r="D15" s="88">
        <v>54358</v>
      </c>
      <c r="E15" s="16">
        <f t="shared" si="0"/>
        <v>12500557.5</v>
      </c>
      <c r="F15" s="32"/>
      <c r="G15" s="33"/>
      <c r="H15" s="17"/>
      <c r="I15" s="19">
        <f t="shared" si="1"/>
        <v>27338</v>
      </c>
      <c r="J15" s="91">
        <f t="shared" si="2"/>
        <v>12527895.5</v>
      </c>
    </row>
    <row r="16" spans="1:10" x14ac:dyDescent="0.15">
      <c r="A16" s="27" t="s">
        <v>13</v>
      </c>
      <c r="B16" s="102" t="s">
        <v>45</v>
      </c>
      <c r="C16" s="103">
        <v>286000</v>
      </c>
      <c r="D16" s="59"/>
      <c r="E16" s="16">
        <f t="shared" si="0"/>
        <v>12786557.5</v>
      </c>
      <c r="F16" s="32"/>
      <c r="G16" s="33"/>
      <c r="H16" s="17"/>
      <c r="I16" s="19">
        <f t="shared" si="1"/>
        <v>27338</v>
      </c>
      <c r="J16" s="91">
        <f t="shared" si="2"/>
        <v>12813895.5</v>
      </c>
    </row>
    <row r="17" spans="1:10" x14ac:dyDescent="0.15">
      <c r="A17" s="27"/>
      <c r="B17" s="81" t="s">
        <v>49</v>
      </c>
      <c r="C17" s="41"/>
      <c r="D17" s="41">
        <v>800</v>
      </c>
      <c r="E17" s="16">
        <f t="shared" si="0"/>
        <v>12785757.5</v>
      </c>
      <c r="F17" s="32"/>
      <c r="G17" s="33"/>
      <c r="H17" s="17"/>
      <c r="I17" s="19">
        <f t="shared" si="1"/>
        <v>27338</v>
      </c>
      <c r="J17" s="91">
        <f t="shared" si="2"/>
        <v>12813095.5</v>
      </c>
    </row>
    <row r="18" spans="1:10" x14ac:dyDescent="0.15">
      <c r="A18" s="27"/>
      <c r="B18" s="89" t="s">
        <v>37</v>
      </c>
      <c r="C18" s="88"/>
      <c r="D18" s="88">
        <v>5060</v>
      </c>
      <c r="E18" s="16">
        <f t="shared" si="0"/>
        <v>12780697.5</v>
      </c>
      <c r="F18" s="32"/>
      <c r="G18" s="33"/>
      <c r="H18" s="17"/>
      <c r="I18" s="19">
        <f t="shared" si="1"/>
        <v>27338</v>
      </c>
      <c r="J18" s="91">
        <f t="shared" si="2"/>
        <v>12808035.5</v>
      </c>
    </row>
    <row r="19" spans="1:10" x14ac:dyDescent="0.15">
      <c r="A19" s="27"/>
      <c r="B19" s="89" t="s">
        <v>37</v>
      </c>
      <c r="C19" s="88"/>
      <c r="D19" s="88">
        <v>5104</v>
      </c>
      <c r="E19" s="16">
        <f t="shared" si="0"/>
        <v>12775593.5</v>
      </c>
      <c r="F19" s="32"/>
      <c r="G19" s="33"/>
      <c r="H19" s="17"/>
      <c r="I19" s="19">
        <f t="shared" si="1"/>
        <v>27338</v>
      </c>
      <c r="J19" s="91">
        <f t="shared" si="2"/>
        <v>12802931.5</v>
      </c>
    </row>
    <row r="20" spans="1:10" x14ac:dyDescent="0.15">
      <c r="A20" s="27"/>
      <c r="B20" s="111" t="s">
        <v>41</v>
      </c>
      <c r="C20" s="106"/>
      <c r="D20" s="106">
        <v>1100</v>
      </c>
      <c r="E20" s="16">
        <f t="shared" si="0"/>
        <v>12774493.5</v>
      </c>
      <c r="F20" s="32"/>
      <c r="G20" s="33"/>
      <c r="H20" s="17"/>
      <c r="I20" s="19">
        <f t="shared" si="1"/>
        <v>27338</v>
      </c>
      <c r="J20" s="91">
        <f t="shared" si="2"/>
        <v>12801831.5</v>
      </c>
    </row>
    <row r="21" spans="1:10" x14ac:dyDescent="0.15">
      <c r="A21" s="27"/>
      <c r="B21" s="37" t="s">
        <v>31</v>
      </c>
      <c r="C21" s="38"/>
      <c r="D21" s="38">
        <v>15000</v>
      </c>
      <c r="E21" s="16">
        <f t="shared" si="0"/>
        <v>12759493.5</v>
      </c>
      <c r="F21" s="42"/>
      <c r="G21" s="17"/>
      <c r="H21" s="43"/>
      <c r="I21" s="19">
        <f t="shared" si="1"/>
        <v>27338</v>
      </c>
      <c r="J21" s="91">
        <f t="shared" si="2"/>
        <v>12786831.5</v>
      </c>
    </row>
    <row r="22" spans="1:10" x14ac:dyDescent="0.15">
      <c r="A22" s="27"/>
      <c r="B22" s="34" t="s">
        <v>10</v>
      </c>
      <c r="C22" s="35"/>
      <c r="D22" s="35">
        <v>1159369</v>
      </c>
      <c r="E22" s="16">
        <f t="shared" si="0"/>
        <v>11600124.5</v>
      </c>
      <c r="F22" s="44"/>
      <c r="G22" s="45"/>
      <c r="H22" s="45"/>
      <c r="I22" s="19">
        <f t="shared" si="1"/>
        <v>27338</v>
      </c>
      <c r="J22" s="91">
        <f t="shared" si="2"/>
        <v>11627462.5</v>
      </c>
    </row>
    <row r="23" spans="1:10" x14ac:dyDescent="0.15">
      <c r="A23" s="27" t="s">
        <v>23</v>
      </c>
      <c r="B23" s="98"/>
      <c r="C23" s="59"/>
      <c r="D23" s="59">
        <v>5000000</v>
      </c>
      <c r="E23" s="16">
        <f t="shared" si="0"/>
        <v>6600124.5</v>
      </c>
      <c r="F23" s="44"/>
      <c r="G23" s="17"/>
      <c r="H23" s="17"/>
      <c r="I23" s="19">
        <f t="shared" si="1"/>
        <v>27338</v>
      </c>
      <c r="J23" s="91">
        <f t="shared" si="2"/>
        <v>6627462.5</v>
      </c>
    </row>
    <row r="24" spans="1:10" x14ac:dyDescent="0.15">
      <c r="A24" s="27"/>
      <c r="B24" s="90" t="s">
        <v>1</v>
      </c>
      <c r="C24" s="88"/>
      <c r="D24" s="88">
        <v>2090</v>
      </c>
      <c r="E24" s="16">
        <f t="shared" si="0"/>
        <v>6598034.5</v>
      </c>
      <c r="F24" s="44"/>
      <c r="G24" s="17"/>
      <c r="H24" s="17"/>
      <c r="I24" s="19">
        <f t="shared" si="1"/>
        <v>27338</v>
      </c>
      <c r="J24" s="91">
        <f t="shared" si="2"/>
        <v>6625372.5</v>
      </c>
    </row>
    <row r="25" spans="1:10" x14ac:dyDescent="0.15">
      <c r="A25" s="27"/>
      <c r="B25" s="37" t="s">
        <v>19</v>
      </c>
      <c r="C25" s="38"/>
      <c r="D25" s="38">
        <v>4025</v>
      </c>
      <c r="E25" s="16">
        <f t="shared" si="0"/>
        <v>6594009.5</v>
      </c>
      <c r="F25" s="44"/>
      <c r="G25" s="17"/>
      <c r="H25" s="17"/>
      <c r="I25" s="19">
        <f t="shared" si="1"/>
        <v>27338</v>
      </c>
      <c r="J25" s="91">
        <f t="shared" si="2"/>
        <v>6621347.5</v>
      </c>
    </row>
    <row r="26" spans="1:10" x14ac:dyDescent="0.15">
      <c r="A26" s="27"/>
      <c r="B26" s="37" t="s">
        <v>30</v>
      </c>
      <c r="C26" s="38"/>
      <c r="D26" s="38">
        <v>6095</v>
      </c>
      <c r="E26" s="16">
        <f t="shared" si="0"/>
        <v>6587914.5</v>
      </c>
      <c r="F26" s="29"/>
      <c r="G26" s="17"/>
      <c r="H26" s="17"/>
      <c r="I26" s="19">
        <f t="shared" si="1"/>
        <v>27338</v>
      </c>
      <c r="J26" s="91">
        <f t="shared" si="2"/>
        <v>6615252.5</v>
      </c>
    </row>
    <row r="27" spans="1:10" x14ac:dyDescent="0.15">
      <c r="A27" s="27"/>
      <c r="B27" s="89" t="s">
        <v>42</v>
      </c>
      <c r="C27" s="88"/>
      <c r="D27" s="88">
        <v>177441</v>
      </c>
      <c r="E27" s="16">
        <f t="shared" si="0"/>
        <v>6410473.5</v>
      </c>
      <c r="F27" s="29"/>
      <c r="G27" s="30"/>
      <c r="H27" s="30"/>
      <c r="I27" s="19">
        <f t="shared" si="1"/>
        <v>27338</v>
      </c>
      <c r="J27" s="91">
        <f t="shared" si="2"/>
        <v>6437811.5</v>
      </c>
    </row>
    <row r="28" spans="1:10" x14ac:dyDescent="0.15">
      <c r="A28" s="27"/>
      <c r="B28" s="108" t="s">
        <v>46</v>
      </c>
      <c r="C28" s="96"/>
      <c r="D28" s="59">
        <v>18900</v>
      </c>
      <c r="E28" s="16">
        <f t="shared" si="0"/>
        <v>6391573.5</v>
      </c>
      <c r="F28" s="42"/>
      <c r="G28" s="17"/>
      <c r="H28" s="17"/>
      <c r="I28" s="19">
        <f t="shared" si="1"/>
        <v>27338</v>
      </c>
      <c r="J28" s="91">
        <f t="shared" si="2"/>
        <v>6418911.5</v>
      </c>
    </row>
    <row r="29" spans="1:10" x14ac:dyDescent="0.15">
      <c r="A29" s="27"/>
      <c r="B29" s="108" t="s">
        <v>47</v>
      </c>
      <c r="C29" s="83"/>
      <c r="D29" s="83">
        <v>5100</v>
      </c>
      <c r="E29" s="16">
        <f t="shared" si="0"/>
        <v>6386473.5</v>
      </c>
      <c r="F29" s="42"/>
      <c r="G29" s="17"/>
      <c r="H29" s="17"/>
      <c r="I29" s="19">
        <f t="shared" si="1"/>
        <v>27338</v>
      </c>
      <c r="J29" s="91">
        <f t="shared" si="2"/>
        <v>6413811.5</v>
      </c>
    </row>
    <row r="30" spans="1:10" x14ac:dyDescent="0.15">
      <c r="A30" s="27"/>
      <c r="B30" s="108" t="s">
        <v>15</v>
      </c>
      <c r="C30" s="83"/>
      <c r="D30" s="83">
        <v>663700</v>
      </c>
      <c r="E30" s="16">
        <f t="shared" si="0"/>
        <v>5722773.5</v>
      </c>
      <c r="F30" s="29"/>
      <c r="G30" s="30"/>
      <c r="H30" s="30"/>
      <c r="I30" s="19">
        <f t="shared" si="1"/>
        <v>27338</v>
      </c>
      <c r="J30" s="91">
        <f t="shared" si="2"/>
        <v>5750111.5</v>
      </c>
    </row>
    <row r="31" spans="1:10" x14ac:dyDescent="0.15">
      <c r="A31" s="27"/>
      <c r="B31" s="108" t="s">
        <v>15</v>
      </c>
      <c r="C31" s="96"/>
      <c r="D31" s="59">
        <v>19400</v>
      </c>
      <c r="E31" s="16">
        <f t="shared" si="0"/>
        <v>5703373.5</v>
      </c>
      <c r="F31" s="29"/>
      <c r="G31" s="30"/>
      <c r="H31" s="30"/>
      <c r="I31" s="19">
        <f t="shared" si="1"/>
        <v>27338</v>
      </c>
      <c r="J31" s="91">
        <f t="shared" si="2"/>
        <v>5730711.5</v>
      </c>
    </row>
    <row r="32" spans="1:10" x14ac:dyDescent="0.15">
      <c r="A32" s="27"/>
      <c r="B32" s="46" t="s">
        <v>25</v>
      </c>
      <c r="C32" s="47"/>
      <c r="D32" s="48">
        <v>6524</v>
      </c>
      <c r="E32" s="16">
        <f t="shared" si="0"/>
        <v>5696849.5</v>
      </c>
      <c r="F32" s="44"/>
      <c r="G32" s="45"/>
      <c r="H32" s="30"/>
      <c r="I32" s="19">
        <f t="shared" si="1"/>
        <v>27338</v>
      </c>
      <c r="J32" s="91">
        <f t="shared" si="2"/>
        <v>5724187.5</v>
      </c>
    </row>
    <row r="33" spans="1:10" x14ac:dyDescent="0.15">
      <c r="A33" s="27"/>
      <c r="B33" s="49" t="s">
        <v>24</v>
      </c>
      <c r="C33" s="47"/>
      <c r="D33" s="48">
        <v>8217</v>
      </c>
      <c r="E33" s="16">
        <f t="shared" si="0"/>
        <v>5688632.5</v>
      </c>
      <c r="F33" s="44"/>
      <c r="G33" s="17"/>
      <c r="H33" s="30"/>
      <c r="I33" s="19">
        <f t="shared" si="1"/>
        <v>27338</v>
      </c>
      <c r="J33" s="91">
        <f t="shared" si="2"/>
        <v>5715970.5</v>
      </c>
    </row>
    <row r="34" spans="1:10" x14ac:dyDescent="0.15">
      <c r="A34" s="27"/>
      <c r="B34" s="49" t="s">
        <v>36</v>
      </c>
      <c r="C34" s="47"/>
      <c r="D34" s="48">
        <v>12330</v>
      </c>
      <c r="E34" s="16">
        <f t="shared" si="0"/>
        <v>5676302.5</v>
      </c>
      <c r="F34" s="44"/>
      <c r="G34" s="17"/>
      <c r="H34" s="17"/>
      <c r="I34" s="19">
        <f t="shared" si="1"/>
        <v>27338</v>
      </c>
      <c r="J34" s="91">
        <f t="shared" si="2"/>
        <v>5703640.5</v>
      </c>
    </row>
    <row r="35" spans="1:10" x14ac:dyDescent="0.15">
      <c r="A35" s="27"/>
      <c r="B35" s="46" t="s">
        <v>38</v>
      </c>
      <c r="C35" s="47"/>
      <c r="D35" s="48">
        <v>15448</v>
      </c>
      <c r="E35" s="16">
        <f t="shared" si="0"/>
        <v>5660854.5</v>
      </c>
      <c r="F35" s="44"/>
      <c r="G35" s="17"/>
      <c r="H35" s="17"/>
      <c r="I35" s="19">
        <f t="shared" si="1"/>
        <v>27338</v>
      </c>
      <c r="J35" s="91">
        <f t="shared" si="2"/>
        <v>5688192.5</v>
      </c>
    </row>
    <row r="36" spans="1:10" x14ac:dyDescent="0.15">
      <c r="A36" s="27"/>
      <c r="B36" s="49" t="s">
        <v>35</v>
      </c>
      <c r="C36" s="50"/>
      <c r="D36" s="50">
        <v>9438</v>
      </c>
      <c r="E36" s="16">
        <f t="shared" si="0"/>
        <v>5651416.5</v>
      </c>
      <c r="F36" s="29"/>
      <c r="G36" s="17"/>
      <c r="H36" s="17"/>
      <c r="I36" s="19">
        <f t="shared" si="1"/>
        <v>27338</v>
      </c>
      <c r="J36" s="91">
        <f t="shared" si="2"/>
        <v>5678754.5</v>
      </c>
    </row>
    <row r="37" spans="1:10" x14ac:dyDescent="0.15">
      <c r="A37" s="27"/>
      <c r="B37" s="39" t="s">
        <v>20</v>
      </c>
      <c r="C37" s="40"/>
      <c r="D37" s="40">
        <v>19002</v>
      </c>
      <c r="E37" s="16">
        <f t="shared" si="0"/>
        <v>5632414.5</v>
      </c>
      <c r="F37" s="29"/>
      <c r="G37" s="30"/>
      <c r="H37" s="17"/>
      <c r="I37" s="19">
        <f t="shared" si="1"/>
        <v>27338</v>
      </c>
      <c r="J37" s="91">
        <f t="shared" si="2"/>
        <v>5659752.5</v>
      </c>
    </row>
    <row r="38" spans="1:10" x14ac:dyDescent="0.15">
      <c r="A38" s="27"/>
      <c r="B38" s="51" t="s">
        <v>32</v>
      </c>
      <c r="C38" s="52"/>
      <c r="D38" s="53">
        <v>10780</v>
      </c>
      <c r="E38" s="16">
        <f t="shared" si="0"/>
        <v>5621634.5</v>
      </c>
      <c r="F38" s="42"/>
      <c r="G38" s="17"/>
      <c r="H38" s="17"/>
      <c r="I38" s="19">
        <f t="shared" si="1"/>
        <v>27338</v>
      </c>
      <c r="J38" s="91">
        <f t="shared" si="2"/>
        <v>5648972.5</v>
      </c>
    </row>
    <row r="39" spans="1:10" x14ac:dyDescent="0.15">
      <c r="A39" s="56"/>
      <c r="B39" s="115" t="s">
        <v>28</v>
      </c>
      <c r="C39" s="116"/>
      <c r="D39" s="116">
        <v>17160</v>
      </c>
      <c r="E39" s="16">
        <f t="shared" si="0"/>
        <v>5604474.5</v>
      </c>
      <c r="F39" s="57"/>
      <c r="G39" s="30"/>
      <c r="H39" s="17"/>
      <c r="I39" s="19">
        <f t="shared" si="1"/>
        <v>27338</v>
      </c>
      <c r="J39" s="91">
        <f t="shared" si="2"/>
        <v>5631812.5</v>
      </c>
    </row>
    <row r="40" spans="1:10" x14ac:dyDescent="0.15">
      <c r="A40" s="27"/>
      <c r="B40" s="80" t="s">
        <v>26</v>
      </c>
      <c r="C40" s="92">
        <v>66000</v>
      </c>
      <c r="D40" s="36">
        <v>385</v>
      </c>
      <c r="E40" s="16">
        <f t="shared" si="0"/>
        <v>5670089.5</v>
      </c>
      <c r="F40" s="29"/>
      <c r="G40" s="30"/>
      <c r="H40" s="17"/>
      <c r="I40" s="19">
        <f t="shared" si="1"/>
        <v>27338</v>
      </c>
      <c r="J40" s="91">
        <f t="shared" si="2"/>
        <v>5697427.5</v>
      </c>
    </row>
    <row r="41" spans="1:10" x14ac:dyDescent="0.15">
      <c r="A41" s="27"/>
      <c r="B41" s="95"/>
      <c r="C41" s="96"/>
      <c r="D41" s="59"/>
      <c r="E41" s="16">
        <f t="shared" si="0"/>
        <v>5670089.5</v>
      </c>
      <c r="F41" s="29"/>
      <c r="G41" s="30"/>
      <c r="H41" s="17"/>
      <c r="I41" s="19">
        <f t="shared" si="1"/>
        <v>27338</v>
      </c>
      <c r="J41" s="91">
        <f t="shared" si="2"/>
        <v>5697427.5</v>
      </c>
    </row>
    <row r="42" spans="1:10" x14ac:dyDescent="0.15">
      <c r="A42" s="27"/>
      <c r="B42" s="95"/>
      <c r="C42" s="96"/>
      <c r="D42" s="59"/>
      <c r="E42" s="16">
        <f t="shared" si="0"/>
        <v>5670089.5</v>
      </c>
      <c r="F42" s="29"/>
      <c r="G42" s="30"/>
      <c r="H42" s="17"/>
      <c r="I42" s="19">
        <f t="shared" si="1"/>
        <v>27338</v>
      </c>
      <c r="J42" s="91">
        <f t="shared" si="2"/>
        <v>5697427.5</v>
      </c>
    </row>
    <row r="43" spans="1:10" x14ac:dyDescent="0.15">
      <c r="A43" s="27"/>
      <c r="B43" s="95"/>
      <c r="C43" s="96"/>
      <c r="D43" s="59"/>
      <c r="E43" s="16">
        <f t="shared" si="0"/>
        <v>5670089.5</v>
      </c>
      <c r="F43" s="29"/>
      <c r="G43" s="30"/>
      <c r="H43" s="17"/>
      <c r="I43" s="19">
        <f t="shared" si="1"/>
        <v>27338</v>
      </c>
      <c r="J43" s="91">
        <f t="shared" si="2"/>
        <v>5697427.5</v>
      </c>
    </row>
    <row r="44" spans="1:10" x14ac:dyDescent="0.15">
      <c r="A44" s="27"/>
      <c r="B44" s="95"/>
      <c r="C44" s="96"/>
      <c r="D44" s="59"/>
      <c r="E44" s="16">
        <f t="shared" si="0"/>
        <v>5670089.5</v>
      </c>
      <c r="F44" s="100"/>
      <c r="G44" s="101"/>
      <c r="H44" s="97"/>
      <c r="I44" s="19">
        <f t="shared" si="1"/>
        <v>27338</v>
      </c>
      <c r="J44" s="91">
        <f t="shared" si="2"/>
        <v>5697427.5</v>
      </c>
    </row>
    <row r="45" spans="1:10" x14ac:dyDescent="0.15">
      <c r="A45" s="27"/>
      <c r="B45" s="54" t="s">
        <v>33</v>
      </c>
      <c r="C45" s="55"/>
      <c r="D45" s="55">
        <v>127600</v>
      </c>
      <c r="E45" s="16">
        <f t="shared" si="0"/>
        <v>5542489.5</v>
      </c>
      <c r="F45" s="29"/>
      <c r="G45" s="30"/>
      <c r="H45" s="43"/>
      <c r="I45" s="19">
        <f t="shared" si="1"/>
        <v>27338</v>
      </c>
      <c r="J45" s="91">
        <f t="shared" si="2"/>
        <v>5569827.5</v>
      </c>
    </row>
    <row r="46" spans="1:10" x14ac:dyDescent="0.15">
      <c r="A46" s="27"/>
      <c r="B46" s="54" t="s">
        <v>34</v>
      </c>
      <c r="C46" s="55"/>
      <c r="D46" s="55">
        <v>32931</v>
      </c>
      <c r="E46" s="16">
        <f t="shared" si="0"/>
        <v>5509558.5</v>
      </c>
      <c r="F46" s="42"/>
      <c r="G46" s="17"/>
      <c r="H46" s="43"/>
      <c r="I46" s="19">
        <f t="shared" si="1"/>
        <v>27338</v>
      </c>
      <c r="J46" s="91">
        <f t="shared" si="2"/>
        <v>5536896.5</v>
      </c>
    </row>
    <row r="47" spans="1:10" x14ac:dyDescent="0.15">
      <c r="A47" s="27"/>
      <c r="B47" s="54" t="s">
        <v>40</v>
      </c>
      <c r="C47" s="55"/>
      <c r="D47" s="55">
        <v>5000</v>
      </c>
      <c r="E47" s="16">
        <f t="shared" si="0"/>
        <v>5504558.5</v>
      </c>
      <c r="F47" s="42"/>
      <c r="G47" s="17"/>
      <c r="H47" s="17"/>
      <c r="I47" s="19">
        <f t="shared" si="1"/>
        <v>27338</v>
      </c>
      <c r="J47" s="91">
        <f t="shared" si="2"/>
        <v>5531896.5</v>
      </c>
    </row>
    <row r="48" spans="1:10" x14ac:dyDescent="0.15">
      <c r="A48" s="27"/>
      <c r="B48" s="99" t="s">
        <v>48</v>
      </c>
      <c r="C48" s="96"/>
      <c r="D48" s="96">
        <v>902000</v>
      </c>
      <c r="E48" s="16">
        <f t="shared" si="0"/>
        <v>4602558.5</v>
      </c>
      <c r="F48" s="70"/>
      <c r="G48" s="30"/>
      <c r="H48" s="30"/>
      <c r="I48" s="19">
        <f t="shared" si="1"/>
        <v>27338</v>
      </c>
      <c r="J48" s="91">
        <f t="shared" si="2"/>
        <v>4629896.5</v>
      </c>
    </row>
    <row r="49" spans="1:10" x14ac:dyDescent="0.15">
      <c r="A49" s="27"/>
      <c r="B49" s="95"/>
      <c r="C49" s="96"/>
      <c r="D49" s="59"/>
      <c r="E49" s="16">
        <f t="shared" si="0"/>
        <v>4602558.5</v>
      </c>
      <c r="F49" s="70"/>
      <c r="G49" s="30"/>
      <c r="H49" s="30"/>
      <c r="I49" s="19">
        <f t="shared" si="1"/>
        <v>27338</v>
      </c>
      <c r="J49" s="91">
        <f t="shared" si="2"/>
        <v>4629896.5</v>
      </c>
    </row>
    <row r="50" spans="1:10" x14ac:dyDescent="0.15">
      <c r="A50" s="27"/>
      <c r="B50" s="81" t="s">
        <v>27</v>
      </c>
      <c r="C50" s="41"/>
      <c r="D50" s="41">
        <v>333301</v>
      </c>
      <c r="E50" s="16">
        <f t="shared" si="0"/>
        <v>4269257.5</v>
      </c>
      <c r="F50" s="60" t="s">
        <v>18</v>
      </c>
      <c r="G50" s="61"/>
      <c r="H50" s="61"/>
      <c r="I50" s="19">
        <f t="shared" si="1"/>
        <v>27338</v>
      </c>
      <c r="J50" s="91">
        <f t="shared" si="2"/>
        <v>4296595.5</v>
      </c>
    </row>
    <row r="51" spans="1:10" x14ac:dyDescent="0.15">
      <c r="A51" s="27"/>
      <c r="B51" s="95"/>
      <c r="C51" s="96"/>
      <c r="D51" s="59"/>
      <c r="E51" s="16">
        <f t="shared" si="0"/>
        <v>4269257.5</v>
      </c>
      <c r="F51" s="60" t="s">
        <v>12</v>
      </c>
      <c r="G51" s="61"/>
      <c r="H51" s="61">
        <v>4007</v>
      </c>
      <c r="I51" s="19">
        <f t="shared" si="1"/>
        <v>23331</v>
      </c>
      <c r="J51" s="91">
        <f t="shared" si="2"/>
        <v>4292588.5</v>
      </c>
    </row>
    <row r="52" spans="1:10" x14ac:dyDescent="0.15">
      <c r="A52" s="79"/>
      <c r="B52" s="93"/>
      <c r="C52" s="82"/>
      <c r="D52" s="62"/>
      <c r="E52" s="63">
        <f t="shared" si="0"/>
        <v>4269257.5</v>
      </c>
      <c r="F52" s="64"/>
      <c r="G52" s="65"/>
      <c r="H52" s="65"/>
      <c r="I52" s="66">
        <f t="shared" si="1"/>
        <v>23331</v>
      </c>
      <c r="J52" s="67">
        <f t="shared" si="2"/>
        <v>4292588.5</v>
      </c>
    </row>
    <row r="53" spans="1:10" x14ac:dyDescent="0.15">
      <c r="E53" s="43"/>
      <c r="I53" s="43"/>
    </row>
    <row r="54" spans="1:10" s="5" customFormat="1" x14ac:dyDescent="0.15">
      <c r="A54" s="4"/>
      <c r="B54" s="68"/>
      <c r="C54" s="69">
        <f>SUM(C6:C52)</f>
        <v>10318000</v>
      </c>
      <c r="D54" s="69">
        <f>SUM(D6:D52)</f>
        <v>8744072</v>
      </c>
      <c r="E54" s="70"/>
      <c r="F54" s="69"/>
      <c r="G54" s="69">
        <f>SUM(G6:G52)</f>
        <v>0</v>
      </c>
      <c r="H54" s="69">
        <f>SUM(H6:H52)</f>
        <v>4007</v>
      </c>
      <c r="I54" s="69"/>
    </row>
    <row r="55" spans="1:10" s="5" customFormat="1" x14ac:dyDescent="0.15">
      <c r="A55" s="4"/>
      <c r="B55" s="71"/>
      <c r="C55" s="72"/>
      <c r="D55" s="69"/>
      <c r="F55" s="68"/>
      <c r="H55" s="5">
        <f>+D54+H54</f>
        <v>8748079</v>
      </c>
    </row>
    <row r="56" spans="1:10" s="5" customFormat="1" x14ac:dyDescent="0.15">
      <c r="A56" s="4"/>
      <c r="B56" s="3"/>
      <c r="C56" s="73" t="s">
        <v>21</v>
      </c>
      <c r="D56" s="73" t="s">
        <v>22</v>
      </c>
      <c r="F56" s="68"/>
    </row>
    <row r="57" spans="1:10" x14ac:dyDescent="0.15">
      <c r="B57" s="74"/>
      <c r="C57" s="75">
        <f>SUM(C54,G54)</f>
        <v>10318000</v>
      </c>
      <c r="D57" s="75">
        <f>SUM(D54,H54)</f>
        <v>8748079</v>
      </c>
    </row>
    <row r="58" spans="1:10" x14ac:dyDescent="0.15">
      <c r="B58" s="74"/>
      <c r="C58" s="76"/>
      <c r="D58" s="77"/>
    </row>
  </sheetData>
  <phoneticPr fontId="2"/>
  <pageMargins left="0.15748031496062992" right="0.19685039370078741" top="0.15748031496062992" bottom="0.15748031496062992" header="0.15748031496062992" footer="0.19685039370078741"/>
  <pageSetup paperSize="9" scale="85" orientation="landscape" r:id="rId1"/>
  <headerFooter alignWithMargins="0">
    <oddHeader>&amp;R&amp;D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FA3A-B28A-4565-A719-AE3AFC676658}">
  <dimension ref="A1:N58"/>
  <sheetViews>
    <sheetView topLeftCell="A10" zoomScaleNormal="100" workbookViewId="0">
      <selection activeCell="M22" sqref="M22"/>
    </sheetView>
  </sheetViews>
  <sheetFormatPr defaultColWidth="9" defaultRowHeight="13.5" x14ac:dyDescent="0.15"/>
  <cols>
    <col min="1" max="1" width="5" style="4" customWidth="1"/>
    <col min="2" max="2" width="20.625" style="3" customWidth="1"/>
    <col min="3" max="5" width="13.375" customWidth="1"/>
    <col min="6" max="6" width="8.375" style="3" customWidth="1"/>
    <col min="7" max="9" width="10" customWidth="1"/>
    <col min="10" max="10" width="11.375" bestFit="1" customWidth="1"/>
    <col min="16" max="16" width="9.375" bestFit="1" customWidth="1"/>
  </cols>
  <sheetData>
    <row r="1" spans="1:14" x14ac:dyDescent="0.15">
      <c r="A1" s="11" t="s">
        <v>16</v>
      </c>
      <c r="F1" s="10" t="s">
        <v>17</v>
      </c>
      <c r="J1" s="10" t="str">
        <f ca="1">RIGHT(CELL("filename",A1),LEN(CELL("filename",A1))-FIND("]",CELL("filename",A1)))</f>
        <v>25'07月</v>
      </c>
    </row>
    <row r="2" spans="1:14" x14ac:dyDescent="0.15">
      <c r="A2" s="105"/>
      <c r="G2" s="10"/>
    </row>
    <row r="3" spans="1:14" x14ac:dyDescent="0.15">
      <c r="A3" s="6" t="s">
        <v>4</v>
      </c>
      <c r="B3" s="12" t="s">
        <v>5</v>
      </c>
      <c r="C3" s="9" t="s">
        <v>6</v>
      </c>
      <c r="D3" s="9" t="s">
        <v>7</v>
      </c>
      <c r="E3" s="7" t="s">
        <v>8</v>
      </c>
      <c r="F3" s="13" t="s">
        <v>5</v>
      </c>
      <c r="G3" s="1" t="s">
        <v>6</v>
      </c>
      <c r="H3" s="1" t="s">
        <v>7</v>
      </c>
      <c r="I3" s="2" t="s">
        <v>8</v>
      </c>
      <c r="J3" s="14" t="s">
        <v>9</v>
      </c>
    </row>
    <row r="4" spans="1:14" x14ac:dyDescent="0.15">
      <c r="A4" s="104"/>
      <c r="C4" s="15"/>
      <c r="D4" s="15"/>
      <c r="E4" s="16"/>
      <c r="G4" s="17"/>
      <c r="H4" s="18"/>
      <c r="I4" s="19"/>
      <c r="J4" s="67"/>
    </row>
    <row r="5" spans="1:14" x14ac:dyDescent="0.15">
      <c r="A5" s="21"/>
      <c r="B5" s="22"/>
      <c r="C5" s="23">
        <f>SUM(C4:C4)</f>
        <v>0</v>
      </c>
      <c r="D5" s="23">
        <f>SUM(D4:D4)</f>
        <v>0</v>
      </c>
      <c r="E5" s="24">
        <f>'25''06月'!E52</f>
        <v>4269257.5</v>
      </c>
      <c r="F5" s="22"/>
      <c r="G5" s="25">
        <f>SUM(G4:G4)</f>
        <v>0</v>
      </c>
      <c r="H5" s="26">
        <f>SUM(H4:H4)</f>
        <v>0</v>
      </c>
      <c r="I5" s="24">
        <f>'25''06月'!I52</f>
        <v>23331</v>
      </c>
      <c r="J5" s="67">
        <f>'25''06月'!J52</f>
        <v>4292588.5</v>
      </c>
      <c r="M5" s="107">
        <v>302311</v>
      </c>
      <c r="N5" s="107"/>
    </row>
    <row r="6" spans="1:14" x14ac:dyDescent="0.15">
      <c r="A6" s="27" t="s">
        <v>2</v>
      </c>
      <c r="B6" s="84" t="s">
        <v>29</v>
      </c>
      <c r="C6" s="85"/>
      <c r="D6" s="85">
        <v>29150</v>
      </c>
      <c r="E6" s="28">
        <f>E5+C6-D6</f>
        <v>4240107.5</v>
      </c>
      <c r="F6" s="29"/>
      <c r="G6" s="30"/>
      <c r="H6" s="31"/>
      <c r="I6" s="19">
        <f>I5+G6-H6</f>
        <v>23331</v>
      </c>
      <c r="J6" s="20">
        <f>SUM(E6,I6)</f>
        <v>4263438.5</v>
      </c>
      <c r="M6" s="107">
        <v>281991</v>
      </c>
      <c r="N6" s="107"/>
    </row>
    <row r="7" spans="1:14" x14ac:dyDescent="0.15">
      <c r="A7" s="27" t="s">
        <v>3</v>
      </c>
      <c r="B7" s="89" t="s">
        <v>14</v>
      </c>
      <c r="C7" s="88"/>
      <c r="D7" s="88">
        <v>31867</v>
      </c>
      <c r="E7" s="16">
        <f>E6+C7-D7</f>
        <v>4208240.5</v>
      </c>
      <c r="F7" s="32"/>
      <c r="G7" s="33"/>
      <c r="H7" s="17"/>
      <c r="I7" s="19">
        <f>I6+G7-H7</f>
        <v>23331</v>
      </c>
      <c r="J7" s="20">
        <f>SUM(E7,I7)</f>
        <v>4231571.5</v>
      </c>
      <c r="M7" s="107">
        <v>239405</v>
      </c>
      <c r="N7" s="107">
        <f>SUM(M5:M7)</f>
        <v>823707</v>
      </c>
    </row>
    <row r="8" spans="1:14" x14ac:dyDescent="0.15">
      <c r="A8" s="27" t="s">
        <v>11</v>
      </c>
      <c r="B8" s="89" t="s">
        <v>50</v>
      </c>
      <c r="C8" s="88"/>
      <c r="D8" s="88">
        <v>22000</v>
      </c>
      <c r="E8" s="16">
        <f t="shared" ref="E8:E52" si="0">E7+C8-D8</f>
        <v>4186240.5</v>
      </c>
      <c r="F8" s="32"/>
      <c r="G8" s="33"/>
      <c r="H8" s="17"/>
      <c r="I8" s="19">
        <f t="shared" ref="I8:I52" si="1">I7+G8-H8</f>
        <v>23331</v>
      </c>
      <c r="J8" s="20">
        <f t="shared" ref="J8:J52" si="2">SUM(E8,I8)</f>
        <v>4209571.5</v>
      </c>
      <c r="M8" s="107"/>
      <c r="N8" s="107"/>
    </row>
    <row r="9" spans="1:14" x14ac:dyDescent="0.15">
      <c r="A9" s="27"/>
      <c r="B9" s="117" t="s">
        <v>51</v>
      </c>
      <c r="C9" s="118"/>
      <c r="D9" s="118">
        <v>268170</v>
      </c>
      <c r="E9" s="16">
        <f t="shared" si="0"/>
        <v>3918070.5</v>
      </c>
      <c r="F9" s="32"/>
      <c r="G9" s="33"/>
      <c r="H9" s="17"/>
      <c r="I9" s="19">
        <f t="shared" si="1"/>
        <v>23331</v>
      </c>
      <c r="J9" s="20">
        <f t="shared" si="2"/>
        <v>3941401.5</v>
      </c>
      <c r="L9" t="s">
        <v>43</v>
      </c>
      <c r="M9" s="107">
        <v>337317</v>
      </c>
      <c r="N9" s="107">
        <f>SUM(M5:M9)</f>
        <v>1161024</v>
      </c>
    </row>
    <row r="10" spans="1:14" x14ac:dyDescent="0.15">
      <c r="A10" s="27"/>
      <c r="B10" s="58"/>
      <c r="C10" s="59"/>
      <c r="D10" s="118">
        <v>26817</v>
      </c>
      <c r="E10" s="16">
        <f t="shared" si="0"/>
        <v>3891253.5</v>
      </c>
      <c r="F10" s="32"/>
      <c r="G10" s="33"/>
      <c r="H10" s="17"/>
      <c r="I10" s="19">
        <f t="shared" si="1"/>
        <v>23331</v>
      </c>
      <c r="J10" s="91">
        <f t="shared" si="2"/>
        <v>3914584.5</v>
      </c>
    </row>
    <row r="11" spans="1:14" x14ac:dyDescent="0.15">
      <c r="A11" s="27"/>
      <c r="B11" s="89" t="s">
        <v>37</v>
      </c>
      <c r="C11" s="88"/>
      <c r="D11" s="88">
        <v>5060</v>
      </c>
      <c r="E11" s="16">
        <f t="shared" si="0"/>
        <v>3886193.5</v>
      </c>
      <c r="F11" s="32"/>
      <c r="G11" s="33"/>
      <c r="H11" s="17"/>
      <c r="I11" s="19">
        <f t="shared" si="1"/>
        <v>23331</v>
      </c>
      <c r="J11" s="91">
        <f t="shared" si="2"/>
        <v>3909524.5</v>
      </c>
    </row>
    <row r="12" spans="1:14" x14ac:dyDescent="0.15">
      <c r="A12" s="27"/>
      <c r="B12" s="58"/>
      <c r="C12" s="59"/>
      <c r="D12" s="88">
        <v>4928</v>
      </c>
      <c r="E12" s="16">
        <f t="shared" si="0"/>
        <v>3881265.5</v>
      </c>
      <c r="F12" s="32"/>
      <c r="G12" s="33"/>
      <c r="H12" s="17"/>
      <c r="I12" s="19">
        <f t="shared" si="1"/>
        <v>23331</v>
      </c>
      <c r="J12" s="91">
        <f t="shared" si="2"/>
        <v>3904596.5</v>
      </c>
    </row>
    <row r="13" spans="1:14" x14ac:dyDescent="0.15">
      <c r="A13" s="27"/>
      <c r="B13" s="37" t="s">
        <v>31</v>
      </c>
      <c r="C13" s="38"/>
      <c r="D13" s="38">
        <v>15000</v>
      </c>
      <c r="E13" s="16">
        <f t="shared" si="0"/>
        <v>3866265.5</v>
      </c>
      <c r="F13" s="32"/>
      <c r="G13" s="33"/>
      <c r="H13" s="17"/>
      <c r="I13" s="19">
        <f t="shared" si="1"/>
        <v>23331</v>
      </c>
      <c r="J13" s="91">
        <f t="shared" si="2"/>
        <v>3889596.5</v>
      </c>
    </row>
    <row r="14" spans="1:14" x14ac:dyDescent="0.15">
      <c r="A14" s="27" t="s">
        <v>0</v>
      </c>
      <c r="B14" s="111" t="s">
        <v>41</v>
      </c>
      <c r="C14" s="106"/>
      <c r="D14" s="106">
        <v>1100</v>
      </c>
      <c r="E14" s="16">
        <f t="shared" si="0"/>
        <v>3865165.5</v>
      </c>
      <c r="F14" s="32"/>
      <c r="G14" s="33"/>
      <c r="H14" s="17"/>
      <c r="I14" s="19">
        <f t="shared" si="1"/>
        <v>23331</v>
      </c>
      <c r="J14" s="91">
        <f t="shared" si="2"/>
        <v>3888496.5</v>
      </c>
    </row>
    <row r="15" spans="1:14" x14ac:dyDescent="0.15">
      <c r="A15" s="27"/>
      <c r="B15" s="34" t="s">
        <v>10</v>
      </c>
      <c r="C15" s="35"/>
      <c r="D15" s="35">
        <v>1161024</v>
      </c>
      <c r="E15" s="16">
        <f t="shared" si="0"/>
        <v>2704141.5</v>
      </c>
      <c r="F15" s="32"/>
      <c r="G15" s="33"/>
      <c r="H15" s="17"/>
      <c r="I15" s="19">
        <f t="shared" si="1"/>
        <v>23331</v>
      </c>
      <c r="J15" s="91">
        <f t="shared" si="2"/>
        <v>2727472.5</v>
      </c>
    </row>
    <row r="16" spans="1:14" x14ac:dyDescent="0.15">
      <c r="A16" s="27" t="s">
        <v>13</v>
      </c>
      <c r="B16" s="37" t="s">
        <v>19</v>
      </c>
      <c r="C16" s="38"/>
      <c r="D16" s="38">
        <v>4025</v>
      </c>
      <c r="E16" s="16">
        <f t="shared" si="0"/>
        <v>2700116.5</v>
      </c>
      <c r="F16" s="32"/>
      <c r="G16" s="33"/>
      <c r="H16" s="17"/>
      <c r="I16" s="19">
        <f t="shared" si="1"/>
        <v>23331</v>
      </c>
      <c r="J16" s="91">
        <f t="shared" si="2"/>
        <v>2723447.5</v>
      </c>
    </row>
    <row r="17" spans="1:13" x14ac:dyDescent="0.15">
      <c r="A17" s="27"/>
      <c r="B17" s="37" t="s">
        <v>30</v>
      </c>
      <c r="C17" s="38"/>
      <c r="D17" s="38">
        <v>9170</v>
      </c>
      <c r="E17" s="16">
        <f t="shared" si="0"/>
        <v>2690946.5</v>
      </c>
      <c r="F17" s="32"/>
      <c r="G17" s="33"/>
      <c r="H17" s="17"/>
      <c r="I17" s="19">
        <f t="shared" si="1"/>
        <v>23331</v>
      </c>
      <c r="J17" s="91">
        <f t="shared" si="2"/>
        <v>2714277.5</v>
      </c>
    </row>
    <row r="18" spans="1:13" x14ac:dyDescent="0.15">
      <c r="A18" s="27"/>
      <c r="B18" s="89" t="s">
        <v>42</v>
      </c>
      <c r="C18" s="88"/>
      <c r="D18" s="88">
        <v>309268</v>
      </c>
      <c r="E18" s="16">
        <f t="shared" si="0"/>
        <v>2381678.5</v>
      </c>
      <c r="F18" s="32"/>
      <c r="G18" s="33"/>
      <c r="H18" s="17"/>
      <c r="I18" s="19">
        <f t="shared" si="1"/>
        <v>23331</v>
      </c>
      <c r="J18" s="91">
        <f t="shared" si="2"/>
        <v>2405009.5</v>
      </c>
    </row>
    <row r="19" spans="1:13" x14ac:dyDescent="0.15">
      <c r="A19" s="27"/>
      <c r="B19" s="81" t="s">
        <v>27</v>
      </c>
      <c r="C19" s="41"/>
      <c r="D19" s="41">
        <v>333301</v>
      </c>
      <c r="E19" s="16">
        <f t="shared" si="0"/>
        <v>2048377.5</v>
      </c>
      <c r="F19" s="32"/>
      <c r="G19" s="33"/>
      <c r="H19" s="17"/>
      <c r="I19" s="19">
        <f t="shared" si="1"/>
        <v>23331</v>
      </c>
      <c r="J19" s="91">
        <f t="shared" si="2"/>
        <v>2071708.5</v>
      </c>
    </row>
    <row r="20" spans="1:13" x14ac:dyDescent="0.15">
      <c r="A20" s="27"/>
      <c r="B20" s="58"/>
      <c r="C20" s="59"/>
      <c r="D20" s="59"/>
      <c r="E20" s="16">
        <f t="shared" si="0"/>
        <v>2048377.5</v>
      </c>
      <c r="F20" s="32"/>
      <c r="G20" s="33"/>
      <c r="H20" s="17"/>
      <c r="I20" s="19">
        <f t="shared" si="1"/>
        <v>23331</v>
      </c>
      <c r="J20" s="91">
        <f t="shared" si="2"/>
        <v>2071708.5</v>
      </c>
    </row>
    <row r="21" spans="1:13" x14ac:dyDescent="0.15">
      <c r="A21" s="27"/>
      <c r="B21" s="46" t="s">
        <v>25</v>
      </c>
      <c r="C21" s="47"/>
      <c r="D21" s="48">
        <v>6734</v>
      </c>
      <c r="E21" s="16">
        <f t="shared" si="0"/>
        <v>2041643.5</v>
      </c>
      <c r="F21" s="42"/>
      <c r="G21" s="17"/>
      <c r="H21" s="43"/>
      <c r="I21" s="19">
        <f t="shared" si="1"/>
        <v>23331</v>
      </c>
      <c r="J21" s="91">
        <f t="shared" si="2"/>
        <v>2064974.5</v>
      </c>
    </row>
    <row r="22" spans="1:13" x14ac:dyDescent="0.15">
      <c r="A22" s="27"/>
      <c r="B22" s="49" t="s">
        <v>24</v>
      </c>
      <c r="C22" s="47"/>
      <c r="D22" s="48">
        <v>8482</v>
      </c>
      <c r="E22" s="16">
        <f t="shared" si="0"/>
        <v>2033161.5</v>
      </c>
      <c r="F22" s="44"/>
      <c r="G22" s="45"/>
      <c r="H22" s="45"/>
      <c r="I22" s="19">
        <f t="shared" si="1"/>
        <v>23331</v>
      </c>
      <c r="J22" s="91">
        <f t="shared" si="2"/>
        <v>2056492.5</v>
      </c>
      <c r="M22" s="8"/>
    </row>
    <row r="23" spans="1:13" x14ac:dyDescent="0.15">
      <c r="A23" s="27" t="s">
        <v>23</v>
      </c>
      <c r="B23" s="49" t="s">
        <v>36</v>
      </c>
      <c r="C23" s="47"/>
      <c r="D23" s="48">
        <v>12728</v>
      </c>
      <c r="E23" s="16">
        <f t="shared" si="0"/>
        <v>2020433.5</v>
      </c>
      <c r="F23" s="44"/>
      <c r="G23" s="17"/>
      <c r="H23" s="17"/>
      <c r="I23" s="19">
        <f t="shared" si="1"/>
        <v>23331</v>
      </c>
      <c r="J23" s="91">
        <f t="shared" si="2"/>
        <v>2043764.5</v>
      </c>
    </row>
    <row r="24" spans="1:13" x14ac:dyDescent="0.15">
      <c r="A24" s="27"/>
      <c r="B24" s="46" t="s">
        <v>38</v>
      </c>
      <c r="C24" s="47"/>
      <c r="D24" s="48">
        <v>15946</v>
      </c>
      <c r="E24" s="16">
        <f t="shared" si="0"/>
        <v>2004487.5</v>
      </c>
      <c r="F24" s="44"/>
      <c r="G24" s="17"/>
      <c r="H24" s="17"/>
      <c r="I24" s="19">
        <f t="shared" si="1"/>
        <v>23331</v>
      </c>
      <c r="J24" s="91">
        <f t="shared" si="2"/>
        <v>2027818.5</v>
      </c>
    </row>
    <row r="25" spans="1:13" x14ac:dyDescent="0.15">
      <c r="A25" s="27"/>
      <c r="B25" s="49" t="s">
        <v>35</v>
      </c>
      <c r="C25" s="50"/>
      <c r="D25" s="50">
        <v>9753</v>
      </c>
      <c r="E25" s="16">
        <f t="shared" si="0"/>
        <v>1994734.5</v>
      </c>
      <c r="F25" s="44"/>
      <c r="G25" s="17"/>
      <c r="H25" s="17"/>
      <c r="I25" s="19">
        <f t="shared" si="1"/>
        <v>23331</v>
      </c>
      <c r="J25" s="91">
        <f t="shared" si="2"/>
        <v>2018065.5</v>
      </c>
    </row>
    <row r="26" spans="1:13" x14ac:dyDescent="0.15">
      <c r="A26" s="27"/>
      <c r="B26" s="39" t="s">
        <v>20</v>
      </c>
      <c r="C26" s="40"/>
      <c r="D26" s="40">
        <v>19653</v>
      </c>
      <c r="E26" s="16">
        <f t="shared" si="0"/>
        <v>1975081.5</v>
      </c>
      <c r="F26" s="29"/>
      <c r="G26" s="17"/>
      <c r="H26" s="17"/>
      <c r="I26" s="19">
        <f t="shared" si="1"/>
        <v>23331</v>
      </c>
      <c r="J26" s="91">
        <f t="shared" si="2"/>
        <v>1998412.5</v>
      </c>
    </row>
    <row r="27" spans="1:13" x14ac:dyDescent="0.15">
      <c r="A27" s="27"/>
      <c r="B27" s="51" t="s">
        <v>32</v>
      </c>
      <c r="C27" s="52"/>
      <c r="D27" s="53">
        <v>10780</v>
      </c>
      <c r="E27" s="16">
        <f t="shared" si="0"/>
        <v>1964301.5</v>
      </c>
      <c r="F27" s="29"/>
      <c r="G27" s="30"/>
      <c r="H27" s="30"/>
      <c r="I27" s="19">
        <f t="shared" si="1"/>
        <v>23331</v>
      </c>
      <c r="J27" s="91">
        <f t="shared" si="2"/>
        <v>1987632.5</v>
      </c>
    </row>
    <row r="28" spans="1:13" x14ac:dyDescent="0.15">
      <c r="A28" s="27"/>
      <c r="B28" s="99"/>
      <c r="C28" s="96"/>
      <c r="D28" s="59"/>
      <c r="E28" s="16">
        <f t="shared" si="0"/>
        <v>1964301.5</v>
      </c>
      <c r="F28" s="42"/>
      <c r="G28" s="17"/>
      <c r="H28" s="17"/>
      <c r="I28" s="19">
        <f t="shared" si="1"/>
        <v>23331</v>
      </c>
      <c r="J28" s="91">
        <f t="shared" si="2"/>
        <v>1987632.5</v>
      </c>
    </row>
    <row r="29" spans="1:13" x14ac:dyDescent="0.15">
      <c r="A29" s="27"/>
      <c r="B29" s="99"/>
      <c r="C29" s="96"/>
      <c r="D29" s="59"/>
      <c r="E29" s="16">
        <f t="shared" si="0"/>
        <v>1964301.5</v>
      </c>
      <c r="F29" s="42"/>
      <c r="G29" s="17"/>
      <c r="H29" s="17"/>
      <c r="I29" s="19">
        <f t="shared" si="1"/>
        <v>23331</v>
      </c>
      <c r="J29" s="91">
        <f t="shared" si="2"/>
        <v>1987632.5</v>
      </c>
    </row>
    <row r="30" spans="1:13" x14ac:dyDescent="0.15">
      <c r="A30" s="27"/>
      <c r="B30" s="80" t="s">
        <v>55</v>
      </c>
      <c r="C30" s="92">
        <v>165000</v>
      </c>
      <c r="D30" s="59"/>
      <c r="E30" s="16">
        <f t="shared" si="0"/>
        <v>2129301.5</v>
      </c>
      <c r="F30" s="29"/>
      <c r="G30" s="30"/>
      <c r="H30" s="30"/>
      <c r="I30" s="19">
        <f t="shared" si="1"/>
        <v>23331</v>
      </c>
      <c r="J30" s="91">
        <f t="shared" si="2"/>
        <v>2152632.5</v>
      </c>
    </row>
    <row r="31" spans="1:13" x14ac:dyDescent="0.15">
      <c r="A31" s="27"/>
      <c r="B31" s="99"/>
      <c r="C31" s="96"/>
      <c r="D31" s="59"/>
      <c r="E31" s="16">
        <f t="shared" si="0"/>
        <v>2129301.5</v>
      </c>
      <c r="F31" s="29"/>
      <c r="G31" s="30"/>
      <c r="H31" s="30"/>
      <c r="I31" s="19">
        <f t="shared" si="1"/>
        <v>23331</v>
      </c>
      <c r="J31" s="91">
        <f t="shared" si="2"/>
        <v>2152632.5</v>
      </c>
    </row>
    <row r="32" spans="1:13" x14ac:dyDescent="0.15">
      <c r="A32" s="27"/>
      <c r="B32" s="80" t="s">
        <v>26</v>
      </c>
      <c r="C32" s="92">
        <v>66000</v>
      </c>
      <c r="D32" s="36">
        <v>385</v>
      </c>
      <c r="E32" s="16">
        <f t="shared" si="0"/>
        <v>2194916.5</v>
      </c>
      <c r="F32" s="44"/>
      <c r="G32" s="45"/>
      <c r="H32" s="30"/>
      <c r="I32" s="19">
        <f t="shared" si="1"/>
        <v>23331</v>
      </c>
      <c r="J32" s="91">
        <f t="shared" si="2"/>
        <v>2218247.5</v>
      </c>
    </row>
    <row r="33" spans="1:10" x14ac:dyDescent="0.15">
      <c r="A33" s="27"/>
      <c r="B33" s="95"/>
      <c r="C33" s="96"/>
      <c r="D33" s="59"/>
      <c r="E33" s="16">
        <f t="shared" si="0"/>
        <v>2194916.5</v>
      </c>
      <c r="F33" s="44"/>
      <c r="G33" s="17"/>
      <c r="H33" s="30"/>
      <c r="I33" s="19">
        <f t="shared" si="1"/>
        <v>23331</v>
      </c>
      <c r="J33" s="91">
        <f t="shared" si="2"/>
        <v>2218247.5</v>
      </c>
    </row>
    <row r="34" spans="1:10" x14ac:dyDescent="0.15">
      <c r="A34" s="27"/>
      <c r="B34" s="95"/>
      <c r="C34" s="96"/>
      <c r="D34" s="59"/>
      <c r="E34" s="16">
        <f t="shared" si="0"/>
        <v>2194916.5</v>
      </c>
      <c r="F34" s="44"/>
      <c r="G34" s="17"/>
      <c r="H34" s="17"/>
      <c r="I34" s="19">
        <f t="shared" si="1"/>
        <v>23331</v>
      </c>
      <c r="J34" s="91">
        <f t="shared" si="2"/>
        <v>2218247.5</v>
      </c>
    </row>
    <row r="35" spans="1:10" x14ac:dyDescent="0.15">
      <c r="A35" s="27"/>
      <c r="B35" s="95"/>
      <c r="C35" s="96"/>
      <c r="D35" s="59"/>
      <c r="E35" s="16">
        <f t="shared" si="0"/>
        <v>2194916.5</v>
      </c>
      <c r="F35" s="44"/>
      <c r="G35" s="17"/>
      <c r="H35" s="17"/>
      <c r="I35" s="19">
        <f t="shared" si="1"/>
        <v>23331</v>
      </c>
      <c r="J35" s="91">
        <f t="shared" si="2"/>
        <v>2218247.5</v>
      </c>
    </row>
    <row r="36" spans="1:10" x14ac:dyDescent="0.15">
      <c r="A36" s="27"/>
      <c r="B36" s="95"/>
      <c r="C36" s="96"/>
      <c r="D36" s="59"/>
      <c r="E36" s="16">
        <f t="shared" si="0"/>
        <v>2194916.5</v>
      </c>
      <c r="F36" s="29"/>
      <c r="G36" s="17"/>
      <c r="H36" s="17"/>
      <c r="I36" s="19">
        <f t="shared" si="1"/>
        <v>23331</v>
      </c>
      <c r="J36" s="91">
        <f t="shared" si="2"/>
        <v>2218247.5</v>
      </c>
    </row>
    <row r="37" spans="1:10" x14ac:dyDescent="0.15">
      <c r="A37" s="27"/>
      <c r="B37" s="95"/>
      <c r="C37" s="96"/>
      <c r="D37" s="59"/>
      <c r="E37" s="16">
        <f t="shared" si="0"/>
        <v>2194916.5</v>
      </c>
      <c r="F37" s="29"/>
      <c r="G37" s="30"/>
      <c r="H37" s="17"/>
      <c r="I37" s="19">
        <f t="shared" si="1"/>
        <v>23331</v>
      </c>
      <c r="J37" s="91">
        <f t="shared" si="2"/>
        <v>2218247.5</v>
      </c>
    </row>
    <row r="38" spans="1:10" x14ac:dyDescent="0.15">
      <c r="A38" s="27"/>
      <c r="B38" s="95"/>
      <c r="C38" s="96"/>
      <c r="D38" s="59"/>
      <c r="E38" s="16">
        <f t="shared" si="0"/>
        <v>2194916.5</v>
      </c>
      <c r="F38" s="42"/>
      <c r="G38" s="17"/>
      <c r="H38" s="17"/>
      <c r="I38" s="19">
        <f t="shared" si="1"/>
        <v>23331</v>
      </c>
      <c r="J38" s="91">
        <f t="shared" si="2"/>
        <v>2218247.5</v>
      </c>
    </row>
    <row r="39" spans="1:10" x14ac:dyDescent="0.15">
      <c r="A39" s="56"/>
      <c r="B39" s="95"/>
      <c r="C39" s="96"/>
      <c r="D39" s="59"/>
      <c r="E39" s="16">
        <f t="shared" si="0"/>
        <v>2194916.5</v>
      </c>
      <c r="F39" s="57"/>
      <c r="G39" s="30"/>
      <c r="H39" s="17"/>
      <c r="I39" s="19">
        <f t="shared" si="1"/>
        <v>23331</v>
      </c>
      <c r="J39" s="91">
        <f t="shared" si="2"/>
        <v>2218247.5</v>
      </c>
    </row>
    <row r="40" spans="1:10" x14ac:dyDescent="0.15">
      <c r="A40" s="27"/>
      <c r="B40" s="95"/>
      <c r="C40" s="96"/>
      <c r="D40" s="59"/>
      <c r="E40" s="16">
        <f t="shared" si="0"/>
        <v>2194916.5</v>
      </c>
      <c r="F40" s="29"/>
      <c r="G40" s="30"/>
      <c r="H40" s="17"/>
      <c r="I40" s="19">
        <f t="shared" si="1"/>
        <v>23331</v>
      </c>
      <c r="J40" s="91">
        <f t="shared" si="2"/>
        <v>2218247.5</v>
      </c>
    </row>
    <row r="41" spans="1:10" x14ac:dyDescent="0.15">
      <c r="A41" s="27"/>
      <c r="B41" s="95"/>
      <c r="C41" s="96"/>
      <c r="D41" s="59"/>
      <c r="E41" s="16">
        <f t="shared" si="0"/>
        <v>2194916.5</v>
      </c>
      <c r="F41" s="29"/>
      <c r="G41" s="30"/>
      <c r="H41" s="17"/>
      <c r="I41" s="19">
        <f t="shared" si="1"/>
        <v>23331</v>
      </c>
      <c r="J41" s="91">
        <f t="shared" si="2"/>
        <v>2218247.5</v>
      </c>
    </row>
    <row r="42" spans="1:10" x14ac:dyDescent="0.15">
      <c r="A42" s="27"/>
      <c r="B42" s="109" t="s">
        <v>28</v>
      </c>
      <c r="C42" s="110"/>
      <c r="D42" s="110">
        <v>21560</v>
      </c>
      <c r="E42" s="16">
        <f t="shared" si="0"/>
        <v>2173356.5</v>
      </c>
      <c r="F42" s="29"/>
      <c r="G42" s="30"/>
      <c r="H42" s="17"/>
      <c r="I42" s="19">
        <f t="shared" si="1"/>
        <v>23331</v>
      </c>
      <c r="J42" s="91">
        <f t="shared" si="2"/>
        <v>2196687.5</v>
      </c>
    </row>
    <row r="43" spans="1:10" x14ac:dyDescent="0.15">
      <c r="A43" s="27"/>
      <c r="B43" s="95"/>
      <c r="C43" s="96"/>
      <c r="D43" s="59"/>
      <c r="E43" s="16">
        <f t="shared" si="0"/>
        <v>2173356.5</v>
      </c>
      <c r="F43" s="29"/>
      <c r="G43" s="30"/>
      <c r="H43" s="17"/>
      <c r="I43" s="19">
        <f t="shared" si="1"/>
        <v>23331</v>
      </c>
      <c r="J43" s="91">
        <f t="shared" si="2"/>
        <v>2196687.5</v>
      </c>
    </row>
    <row r="44" spans="1:10" x14ac:dyDescent="0.15">
      <c r="A44" s="27"/>
      <c r="B44" s="54" t="s">
        <v>33</v>
      </c>
      <c r="C44" s="55"/>
      <c r="D44" s="55">
        <v>131961</v>
      </c>
      <c r="E44" s="16">
        <f t="shared" si="0"/>
        <v>2041395.5</v>
      </c>
      <c r="F44" s="100"/>
      <c r="G44" s="101"/>
      <c r="H44" s="97"/>
      <c r="I44" s="19">
        <f t="shared" si="1"/>
        <v>23331</v>
      </c>
      <c r="J44" s="91">
        <f t="shared" si="2"/>
        <v>2064726.5</v>
      </c>
    </row>
    <row r="45" spans="1:10" x14ac:dyDescent="0.15">
      <c r="A45" s="27"/>
      <c r="B45" s="54" t="s">
        <v>34</v>
      </c>
      <c r="C45" s="55"/>
      <c r="D45" s="55">
        <v>32931</v>
      </c>
      <c r="E45" s="16">
        <f t="shared" si="0"/>
        <v>2008464.5</v>
      </c>
      <c r="F45" s="29"/>
      <c r="G45" s="30"/>
      <c r="H45" s="43"/>
      <c r="I45" s="19">
        <f t="shared" si="1"/>
        <v>23331</v>
      </c>
      <c r="J45" s="91">
        <f t="shared" si="2"/>
        <v>2031795.5</v>
      </c>
    </row>
    <row r="46" spans="1:10" x14ac:dyDescent="0.15">
      <c r="A46" s="27"/>
      <c r="B46" s="54" t="s">
        <v>40</v>
      </c>
      <c r="C46" s="55"/>
      <c r="D46" s="55">
        <v>5000</v>
      </c>
      <c r="E46" s="16">
        <f t="shared" si="0"/>
        <v>2003464.5</v>
      </c>
      <c r="F46" s="42"/>
      <c r="G46" s="17"/>
      <c r="H46" s="43"/>
      <c r="I46" s="19">
        <f t="shared" si="1"/>
        <v>23331</v>
      </c>
      <c r="J46" s="91">
        <f t="shared" si="2"/>
        <v>2026795.5</v>
      </c>
    </row>
    <row r="47" spans="1:10" x14ac:dyDescent="0.15">
      <c r="A47" s="27"/>
      <c r="B47" s="95"/>
      <c r="C47" s="96"/>
      <c r="D47" s="59"/>
      <c r="E47" s="16">
        <f t="shared" si="0"/>
        <v>2003464.5</v>
      </c>
      <c r="F47" s="42"/>
      <c r="G47" s="17"/>
      <c r="H47" s="17"/>
      <c r="I47" s="19">
        <f t="shared" si="1"/>
        <v>23331</v>
      </c>
      <c r="J47" s="91">
        <f t="shared" si="2"/>
        <v>2026795.5</v>
      </c>
    </row>
    <row r="48" spans="1:10" x14ac:dyDescent="0.15">
      <c r="A48" s="27"/>
      <c r="B48" s="95"/>
      <c r="C48" s="96"/>
      <c r="D48" s="59"/>
      <c r="E48" s="16">
        <f t="shared" si="0"/>
        <v>2003464.5</v>
      </c>
      <c r="F48" s="70"/>
      <c r="G48" s="30"/>
      <c r="H48" s="30"/>
      <c r="I48" s="19">
        <f t="shared" si="1"/>
        <v>23331</v>
      </c>
      <c r="J48" s="91">
        <f t="shared" si="2"/>
        <v>2026795.5</v>
      </c>
    </row>
    <row r="49" spans="1:10" x14ac:dyDescent="0.15">
      <c r="A49" s="27"/>
      <c r="B49" s="95"/>
      <c r="C49" s="96"/>
      <c r="D49" s="59"/>
      <c r="E49" s="16">
        <f t="shared" si="0"/>
        <v>2003464.5</v>
      </c>
      <c r="F49" s="70"/>
      <c r="G49" s="30"/>
      <c r="H49" s="30"/>
      <c r="I49" s="19">
        <f t="shared" si="1"/>
        <v>23331</v>
      </c>
      <c r="J49" s="91">
        <f t="shared" si="2"/>
        <v>2026795.5</v>
      </c>
    </row>
    <row r="50" spans="1:10" x14ac:dyDescent="0.15">
      <c r="A50" s="27"/>
      <c r="B50" s="95"/>
      <c r="C50" s="96"/>
      <c r="D50" s="59"/>
      <c r="E50" s="16">
        <f t="shared" si="0"/>
        <v>2003464.5</v>
      </c>
      <c r="F50" s="60" t="s">
        <v>18</v>
      </c>
      <c r="G50" s="61"/>
      <c r="H50" s="61"/>
      <c r="I50" s="19">
        <f t="shared" si="1"/>
        <v>23331</v>
      </c>
      <c r="J50" s="91">
        <f t="shared" si="2"/>
        <v>2026795.5</v>
      </c>
    </row>
    <row r="51" spans="1:10" x14ac:dyDescent="0.15">
      <c r="A51" s="27"/>
      <c r="B51" s="95"/>
      <c r="C51" s="96"/>
      <c r="D51" s="59"/>
      <c r="E51" s="16">
        <f t="shared" si="0"/>
        <v>2003464.5</v>
      </c>
      <c r="F51" s="60" t="s">
        <v>12</v>
      </c>
      <c r="G51" s="61"/>
      <c r="H51" s="61">
        <v>4136</v>
      </c>
      <c r="I51" s="19">
        <f t="shared" si="1"/>
        <v>19195</v>
      </c>
      <c r="J51" s="91">
        <f t="shared" si="2"/>
        <v>2022659.5</v>
      </c>
    </row>
    <row r="52" spans="1:10" x14ac:dyDescent="0.15">
      <c r="A52" s="79"/>
      <c r="B52" s="93"/>
      <c r="C52" s="82"/>
      <c r="D52" s="62"/>
      <c r="E52" s="63">
        <f t="shared" si="0"/>
        <v>2003464.5</v>
      </c>
      <c r="F52" s="64"/>
      <c r="G52" s="65"/>
      <c r="H52" s="65"/>
      <c r="I52" s="66">
        <f t="shared" si="1"/>
        <v>19195</v>
      </c>
      <c r="J52" s="67">
        <f t="shared" si="2"/>
        <v>2022659.5</v>
      </c>
    </row>
    <row r="53" spans="1:10" x14ac:dyDescent="0.15">
      <c r="E53" s="43"/>
      <c r="I53" s="43"/>
    </row>
    <row r="54" spans="1:10" s="5" customFormat="1" x14ac:dyDescent="0.15">
      <c r="A54" s="4"/>
      <c r="B54" s="68"/>
      <c r="C54" s="69">
        <f>SUM(C6:C52)</f>
        <v>231000</v>
      </c>
      <c r="D54" s="69">
        <f>SUM(D6:D52)</f>
        <v>2496793</v>
      </c>
      <c r="E54" s="70"/>
      <c r="F54" s="69"/>
      <c r="G54" s="69">
        <f>SUM(G6:G52)</f>
        <v>0</v>
      </c>
      <c r="H54" s="69">
        <f>SUM(H6:H52)</f>
        <v>4136</v>
      </c>
      <c r="I54" s="69"/>
    </row>
    <row r="55" spans="1:10" s="5" customFormat="1" x14ac:dyDescent="0.15">
      <c r="A55" s="4"/>
      <c r="B55" s="71"/>
      <c r="C55" s="72"/>
      <c r="D55" s="69"/>
      <c r="F55" s="68"/>
      <c r="H55" s="5">
        <f>+D54+H54</f>
        <v>2500929</v>
      </c>
    </row>
    <row r="56" spans="1:10" s="5" customFormat="1" x14ac:dyDescent="0.15">
      <c r="A56" s="4"/>
      <c r="B56" s="3"/>
      <c r="C56" s="73" t="s">
        <v>21</v>
      </c>
      <c r="D56" s="73" t="s">
        <v>22</v>
      </c>
      <c r="F56" s="68"/>
    </row>
    <row r="57" spans="1:10" x14ac:dyDescent="0.15">
      <c r="B57" s="74"/>
      <c r="C57" s="75">
        <f>SUM(C54,G54)</f>
        <v>231000</v>
      </c>
      <c r="D57" s="75">
        <f>SUM(D54,H54)</f>
        <v>2500929</v>
      </c>
    </row>
    <row r="58" spans="1:10" x14ac:dyDescent="0.15">
      <c r="B58" s="74"/>
      <c r="C58" s="76"/>
      <c r="D58" s="77"/>
    </row>
  </sheetData>
  <phoneticPr fontId="2"/>
  <pageMargins left="0.15748031496062992" right="0.19685039370078741" top="0.15748031496062992" bottom="0.15748031496062992" header="0.15748031496062992" footer="0.19685039370078741"/>
  <pageSetup paperSize="9" scale="85" orientation="landscape" r:id="rId1"/>
  <headerFooter alignWithMargins="0">
    <oddHeader>&amp;R&amp;D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5532-216B-414A-9305-8FDFFBE18869}">
  <dimension ref="A1:J58"/>
  <sheetViews>
    <sheetView zoomScaleNormal="100" workbookViewId="0">
      <selection activeCell="K4" sqref="K1:R1048576"/>
    </sheetView>
  </sheetViews>
  <sheetFormatPr defaultColWidth="9" defaultRowHeight="13.5" x14ac:dyDescent="0.15"/>
  <cols>
    <col min="1" max="1" width="5" style="4" customWidth="1"/>
    <col min="2" max="2" width="20.625" style="3" customWidth="1"/>
    <col min="3" max="5" width="13.375" customWidth="1"/>
    <col min="6" max="6" width="8.375" style="3" customWidth="1"/>
    <col min="7" max="9" width="10" customWidth="1"/>
    <col min="10" max="10" width="11.375" bestFit="1" customWidth="1"/>
  </cols>
  <sheetData>
    <row r="1" spans="1:10" x14ac:dyDescent="0.15">
      <c r="A1" s="11" t="s">
        <v>16</v>
      </c>
      <c r="F1" s="10" t="s">
        <v>17</v>
      </c>
      <c r="J1" s="10" t="str">
        <f ca="1">RIGHT(CELL("filename",A1),LEN(CELL("filename",A1))-FIND("]",CELL("filename",A1)))</f>
        <v>25'08月</v>
      </c>
    </row>
    <row r="2" spans="1:10" x14ac:dyDescent="0.15">
      <c r="A2" s="105"/>
      <c r="G2" s="10"/>
    </row>
    <row r="3" spans="1:10" x14ac:dyDescent="0.15">
      <c r="A3" s="6" t="s">
        <v>4</v>
      </c>
      <c r="B3" s="12" t="s">
        <v>5</v>
      </c>
      <c r="C3" s="9" t="s">
        <v>6</v>
      </c>
      <c r="D3" s="9" t="s">
        <v>7</v>
      </c>
      <c r="E3" s="7" t="s">
        <v>8</v>
      </c>
      <c r="F3" s="13" t="s">
        <v>5</v>
      </c>
      <c r="G3" s="1" t="s">
        <v>6</v>
      </c>
      <c r="H3" s="1" t="s">
        <v>7</v>
      </c>
      <c r="I3" s="2" t="s">
        <v>8</v>
      </c>
      <c r="J3" s="14" t="s">
        <v>9</v>
      </c>
    </row>
    <row r="4" spans="1:10" x14ac:dyDescent="0.15">
      <c r="A4" s="104"/>
      <c r="C4" s="15"/>
      <c r="D4" s="15"/>
      <c r="E4" s="16"/>
      <c r="G4" s="17"/>
      <c r="H4" s="18"/>
      <c r="I4" s="19"/>
      <c r="J4" s="67"/>
    </row>
    <row r="5" spans="1:10" x14ac:dyDescent="0.15">
      <c r="A5" s="21"/>
      <c r="B5" s="22"/>
      <c r="C5" s="23">
        <f>SUM(C4:C4)</f>
        <v>0</v>
      </c>
      <c r="D5" s="23">
        <f>SUM(D4:D4)</f>
        <v>0</v>
      </c>
      <c r="E5" s="24">
        <f>'25''07月'!E52</f>
        <v>2003464.5</v>
      </c>
      <c r="F5" s="22"/>
      <c r="G5" s="25">
        <f>SUM(G4:G4)</f>
        <v>0</v>
      </c>
      <c r="H5" s="26">
        <f>SUM(H4:H4)</f>
        <v>0</v>
      </c>
      <c r="I5" s="24">
        <f>'25''07月'!I52</f>
        <v>19195</v>
      </c>
      <c r="J5" s="67">
        <f>'25''07月'!J52</f>
        <v>2022659.5</v>
      </c>
    </row>
    <row r="6" spans="1:10" x14ac:dyDescent="0.15">
      <c r="A6" s="27" t="s">
        <v>2</v>
      </c>
      <c r="B6" s="84" t="s">
        <v>29</v>
      </c>
      <c r="C6" s="85"/>
      <c r="D6" s="85">
        <v>29150</v>
      </c>
      <c r="E6" s="28">
        <f>E5+C6-D6</f>
        <v>1974314.5</v>
      </c>
      <c r="F6" s="29"/>
      <c r="G6" s="30"/>
      <c r="H6" s="31"/>
      <c r="I6" s="19">
        <f>I5+G6-H6</f>
        <v>19195</v>
      </c>
      <c r="J6" s="20">
        <f>SUM(E6,I6)</f>
        <v>1993509.5</v>
      </c>
    </row>
    <row r="7" spans="1:10" x14ac:dyDescent="0.15">
      <c r="A7" s="27" t="s">
        <v>3</v>
      </c>
      <c r="B7" s="94" t="s">
        <v>56</v>
      </c>
      <c r="C7" s="78">
        <v>96000</v>
      </c>
      <c r="D7" s="36"/>
      <c r="E7" s="16">
        <f>E6+C7-D7</f>
        <v>2070314.5</v>
      </c>
      <c r="F7" s="32"/>
      <c r="G7" s="33"/>
      <c r="H7" s="17"/>
      <c r="I7" s="19">
        <f>I6+G7-H7</f>
        <v>19195</v>
      </c>
      <c r="J7" s="20">
        <f>SUM(E7,I7)</f>
        <v>2089509.5</v>
      </c>
    </row>
    <row r="8" spans="1:10" x14ac:dyDescent="0.15">
      <c r="A8" s="27" t="s">
        <v>11</v>
      </c>
      <c r="B8" s="119" t="s">
        <v>53</v>
      </c>
      <c r="C8" s="120"/>
      <c r="D8" s="120">
        <v>27225</v>
      </c>
      <c r="E8" s="16">
        <f t="shared" ref="E8:E52" si="0">E7+C8-D8</f>
        <v>2043089.5</v>
      </c>
      <c r="F8" s="32"/>
      <c r="G8" s="33"/>
      <c r="H8" s="17"/>
      <c r="I8" s="19">
        <f t="shared" ref="I8:I52" si="1">I7+G8-H8</f>
        <v>19195</v>
      </c>
      <c r="J8" s="20">
        <f t="shared" ref="J8:J52" si="2">SUM(E8,I8)</f>
        <v>2062284.5</v>
      </c>
    </row>
    <row r="9" spans="1:10" x14ac:dyDescent="0.15">
      <c r="A9" s="27"/>
      <c r="B9" s="119" t="s">
        <v>54</v>
      </c>
      <c r="C9" s="120"/>
      <c r="D9" s="120">
        <v>27225</v>
      </c>
      <c r="E9" s="16">
        <f t="shared" si="0"/>
        <v>2015864.5</v>
      </c>
      <c r="F9" s="32"/>
      <c r="G9" s="33"/>
      <c r="H9" s="17"/>
      <c r="I9" s="19">
        <f t="shared" si="1"/>
        <v>19195</v>
      </c>
      <c r="J9" s="20">
        <f t="shared" si="2"/>
        <v>2035059.5</v>
      </c>
    </row>
    <row r="10" spans="1:10" x14ac:dyDescent="0.15">
      <c r="A10" s="27"/>
      <c r="B10" s="89" t="s">
        <v>14</v>
      </c>
      <c r="C10" s="88"/>
      <c r="D10" s="88">
        <v>36259</v>
      </c>
      <c r="E10" s="16">
        <f t="shared" si="0"/>
        <v>1979605.5</v>
      </c>
      <c r="F10" s="32"/>
      <c r="G10" s="33"/>
      <c r="H10" s="17"/>
      <c r="I10" s="19">
        <f t="shared" si="1"/>
        <v>19195</v>
      </c>
      <c r="J10" s="91">
        <f t="shared" si="2"/>
        <v>1998800.5</v>
      </c>
    </row>
    <row r="11" spans="1:10" x14ac:dyDescent="0.15">
      <c r="A11" s="27"/>
      <c r="B11" s="34" t="s">
        <v>57</v>
      </c>
      <c r="C11" s="35"/>
      <c r="D11" s="35">
        <v>50000</v>
      </c>
      <c r="E11" s="16">
        <f t="shared" si="0"/>
        <v>1929605.5</v>
      </c>
      <c r="F11" s="32"/>
      <c r="G11" s="33"/>
      <c r="H11" s="17"/>
      <c r="I11" s="19">
        <f t="shared" si="1"/>
        <v>19195</v>
      </c>
      <c r="J11" s="91">
        <f t="shared" si="2"/>
        <v>1948800.5</v>
      </c>
    </row>
    <row r="12" spans="1:10" x14ac:dyDescent="0.15">
      <c r="A12" s="27"/>
      <c r="B12" s="58" t="s">
        <v>58</v>
      </c>
      <c r="C12" s="59"/>
      <c r="D12" s="59">
        <v>220</v>
      </c>
      <c r="E12" s="16">
        <f t="shared" si="0"/>
        <v>1929385.5</v>
      </c>
      <c r="F12" s="32"/>
      <c r="G12" s="33"/>
      <c r="H12" s="17"/>
      <c r="I12" s="19">
        <f t="shared" si="1"/>
        <v>19195</v>
      </c>
      <c r="J12" s="91">
        <f t="shared" si="2"/>
        <v>1948580.5</v>
      </c>
    </row>
    <row r="13" spans="1:10" x14ac:dyDescent="0.15">
      <c r="A13" s="27"/>
      <c r="B13" s="58" t="s">
        <v>59</v>
      </c>
      <c r="C13" s="59">
        <v>2182</v>
      </c>
      <c r="D13" s="59"/>
      <c r="E13" s="16">
        <f t="shared" si="0"/>
        <v>1931567.5</v>
      </c>
      <c r="F13" s="32"/>
      <c r="G13" s="33"/>
      <c r="H13" s="17"/>
      <c r="I13" s="19">
        <f t="shared" si="1"/>
        <v>19195</v>
      </c>
      <c r="J13" s="91">
        <f t="shared" si="2"/>
        <v>1950762.5</v>
      </c>
    </row>
    <row r="14" spans="1:10" x14ac:dyDescent="0.15">
      <c r="A14" s="27" t="s">
        <v>0</v>
      </c>
      <c r="B14" s="89" t="s">
        <v>37</v>
      </c>
      <c r="C14" s="88"/>
      <c r="D14" s="88">
        <v>5060</v>
      </c>
      <c r="E14" s="16">
        <f t="shared" si="0"/>
        <v>1926507.5</v>
      </c>
      <c r="F14" s="32"/>
      <c r="G14" s="33"/>
      <c r="H14" s="17"/>
      <c r="I14" s="19">
        <f t="shared" si="1"/>
        <v>19195</v>
      </c>
      <c r="J14" s="91">
        <f t="shared" si="2"/>
        <v>1945702.5</v>
      </c>
    </row>
    <row r="15" spans="1:10" x14ac:dyDescent="0.15">
      <c r="A15" s="27"/>
      <c r="B15" s="89" t="s">
        <v>37</v>
      </c>
      <c r="C15" s="88"/>
      <c r="D15" s="88">
        <v>3564</v>
      </c>
      <c r="E15" s="16">
        <f t="shared" si="0"/>
        <v>1922943.5</v>
      </c>
      <c r="F15" s="32"/>
      <c r="G15" s="33"/>
      <c r="H15" s="17"/>
      <c r="I15" s="19">
        <f t="shared" si="1"/>
        <v>19195</v>
      </c>
      <c r="J15" s="91">
        <f t="shared" si="2"/>
        <v>1942138.5</v>
      </c>
    </row>
    <row r="16" spans="1:10" x14ac:dyDescent="0.15">
      <c r="A16" s="27" t="s">
        <v>13</v>
      </c>
      <c r="B16" s="37" t="s">
        <v>31</v>
      </c>
      <c r="C16" s="38"/>
      <c r="D16" s="38">
        <v>15000</v>
      </c>
      <c r="E16" s="16">
        <f t="shared" si="0"/>
        <v>1907943.5</v>
      </c>
      <c r="F16" s="32"/>
      <c r="G16" s="33"/>
      <c r="H16" s="17"/>
      <c r="I16" s="19">
        <f t="shared" si="1"/>
        <v>19195</v>
      </c>
      <c r="J16" s="91">
        <f t="shared" si="2"/>
        <v>1927138.5</v>
      </c>
    </row>
    <row r="17" spans="1:10" x14ac:dyDescent="0.15">
      <c r="A17" s="27"/>
      <c r="B17" s="111" t="s">
        <v>41</v>
      </c>
      <c r="C17" s="106"/>
      <c r="D17" s="106">
        <v>2233</v>
      </c>
      <c r="E17" s="16">
        <f t="shared" si="0"/>
        <v>1905710.5</v>
      </c>
      <c r="F17" s="32"/>
      <c r="G17" s="33"/>
      <c r="H17" s="17"/>
      <c r="I17" s="19">
        <f t="shared" si="1"/>
        <v>19195</v>
      </c>
      <c r="J17" s="91">
        <f t="shared" si="2"/>
        <v>1924905.5</v>
      </c>
    </row>
    <row r="18" spans="1:10" x14ac:dyDescent="0.15">
      <c r="A18" s="27"/>
      <c r="B18" s="34" t="s">
        <v>10</v>
      </c>
      <c r="C18" s="35"/>
      <c r="D18" s="35">
        <v>1161024</v>
      </c>
      <c r="E18" s="16">
        <f t="shared" si="0"/>
        <v>744686.5</v>
      </c>
      <c r="F18" s="32"/>
      <c r="G18" s="33"/>
      <c r="H18" s="17"/>
      <c r="I18" s="19">
        <f t="shared" si="1"/>
        <v>19195</v>
      </c>
      <c r="J18" s="91">
        <f t="shared" si="2"/>
        <v>763881.5</v>
      </c>
    </row>
    <row r="19" spans="1:10" x14ac:dyDescent="0.15">
      <c r="A19" s="27"/>
      <c r="B19" s="81" t="s">
        <v>27</v>
      </c>
      <c r="C19" s="41"/>
      <c r="D19" s="41">
        <v>333301</v>
      </c>
      <c r="E19" s="16">
        <f t="shared" si="0"/>
        <v>411385.5</v>
      </c>
      <c r="F19" s="32"/>
      <c r="G19" s="33"/>
      <c r="H19" s="17"/>
      <c r="I19" s="19">
        <f t="shared" si="1"/>
        <v>19195</v>
      </c>
      <c r="J19" s="91">
        <f t="shared" si="2"/>
        <v>430580.5</v>
      </c>
    </row>
    <row r="20" spans="1:10" x14ac:dyDescent="0.15">
      <c r="A20" s="27"/>
      <c r="B20" s="37" t="s">
        <v>19</v>
      </c>
      <c r="C20" s="38"/>
      <c r="D20" s="38">
        <v>4025</v>
      </c>
      <c r="E20" s="16">
        <f t="shared" si="0"/>
        <v>407360.5</v>
      </c>
      <c r="F20" s="32"/>
      <c r="G20" s="33"/>
      <c r="H20" s="17"/>
      <c r="I20" s="19">
        <f t="shared" si="1"/>
        <v>19195</v>
      </c>
      <c r="J20" s="91">
        <f t="shared" si="2"/>
        <v>426555.5</v>
      </c>
    </row>
    <row r="21" spans="1:10" x14ac:dyDescent="0.15">
      <c r="A21" s="27"/>
      <c r="B21" s="37" t="s">
        <v>30</v>
      </c>
      <c r="C21" s="38"/>
      <c r="D21" s="38">
        <v>9170</v>
      </c>
      <c r="E21" s="16">
        <f t="shared" si="0"/>
        <v>398190.5</v>
      </c>
      <c r="F21" s="42"/>
      <c r="G21" s="17"/>
      <c r="H21" s="43"/>
      <c r="I21" s="19">
        <f t="shared" si="1"/>
        <v>19195</v>
      </c>
      <c r="J21" s="91">
        <f t="shared" si="2"/>
        <v>417385.5</v>
      </c>
    </row>
    <row r="22" spans="1:10" x14ac:dyDescent="0.15">
      <c r="A22" s="27"/>
      <c r="B22" s="89" t="s">
        <v>42</v>
      </c>
      <c r="C22" s="88"/>
      <c r="D22" s="88">
        <v>225947</v>
      </c>
      <c r="E22" s="16">
        <f t="shared" si="0"/>
        <v>172243.5</v>
      </c>
      <c r="F22" s="44"/>
      <c r="G22" s="45"/>
      <c r="H22" s="45"/>
      <c r="I22" s="19">
        <f t="shared" si="1"/>
        <v>19195</v>
      </c>
      <c r="J22" s="91">
        <f t="shared" si="2"/>
        <v>191438.5</v>
      </c>
    </row>
    <row r="23" spans="1:10" x14ac:dyDescent="0.15">
      <c r="A23" s="27" t="s">
        <v>23</v>
      </c>
      <c r="B23" s="99"/>
      <c r="C23" s="96"/>
      <c r="D23" s="59"/>
      <c r="E23" s="16">
        <f t="shared" si="0"/>
        <v>172243.5</v>
      </c>
      <c r="F23" s="44"/>
      <c r="G23" s="17"/>
      <c r="H23" s="17"/>
      <c r="I23" s="19">
        <f t="shared" si="1"/>
        <v>19195</v>
      </c>
      <c r="J23" s="91">
        <f t="shared" si="2"/>
        <v>191438.5</v>
      </c>
    </row>
    <row r="24" spans="1:10" x14ac:dyDescent="0.15">
      <c r="A24" s="27"/>
      <c r="B24" s="54" t="s">
        <v>33</v>
      </c>
      <c r="C24" s="55"/>
      <c r="D24" s="55">
        <v>127600</v>
      </c>
      <c r="E24" s="16">
        <f t="shared" si="0"/>
        <v>44643.5</v>
      </c>
      <c r="F24" s="44"/>
      <c r="G24" s="17"/>
      <c r="H24" s="17"/>
      <c r="I24" s="19">
        <f t="shared" si="1"/>
        <v>19195</v>
      </c>
      <c r="J24" s="91">
        <f t="shared" si="2"/>
        <v>63838.5</v>
      </c>
    </row>
    <row r="25" spans="1:10" x14ac:dyDescent="0.15">
      <c r="A25" s="27"/>
      <c r="B25" s="54" t="s">
        <v>34</v>
      </c>
      <c r="C25" s="55"/>
      <c r="D25" s="55">
        <v>32931</v>
      </c>
      <c r="E25" s="16">
        <f t="shared" si="0"/>
        <v>11712.5</v>
      </c>
      <c r="F25" s="44"/>
      <c r="G25" s="17"/>
      <c r="H25" s="17"/>
      <c r="I25" s="19">
        <f t="shared" si="1"/>
        <v>19195</v>
      </c>
      <c r="J25" s="91">
        <f t="shared" si="2"/>
        <v>30907.5</v>
      </c>
    </row>
    <row r="26" spans="1:10" x14ac:dyDescent="0.15">
      <c r="A26" s="27"/>
      <c r="B26" s="54" t="s">
        <v>40</v>
      </c>
      <c r="C26" s="55"/>
      <c r="D26" s="55">
        <v>5000</v>
      </c>
      <c r="E26" s="16">
        <f t="shared" si="0"/>
        <v>6712.5</v>
      </c>
      <c r="F26" s="29"/>
      <c r="G26" s="17"/>
      <c r="H26" s="17"/>
      <c r="I26" s="19">
        <f t="shared" si="1"/>
        <v>19195</v>
      </c>
      <c r="J26" s="91">
        <f t="shared" si="2"/>
        <v>25907.5</v>
      </c>
    </row>
    <row r="27" spans="1:10" x14ac:dyDescent="0.15">
      <c r="A27" s="27"/>
      <c r="B27" s="94" t="s">
        <v>60</v>
      </c>
      <c r="C27" s="78">
        <v>165000</v>
      </c>
      <c r="D27" s="59"/>
      <c r="E27" s="16">
        <f t="shared" si="0"/>
        <v>171712.5</v>
      </c>
      <c r="F27" s="29"/>
      <c r="G27" s="30"/>
      <c r="H27" s="30"/>
      <c r="I27" s="19">
        <f t="shared" si="1"/>
        <v>19195</v>
      </c>
      <c r="J27" s="91">
        <f t="shared" si="2"/>
        <v>190907.5</v>
      </c>
    </row>
    <row r="28" spans="1:10" x14ac:dyDescent="0.15">
      <c r="A28" s="27"/>
      <c r="B28" s="94" t="s">
        <v>39</v>
      </c>
      <c r="C28" s="78">
        <v>990000</v>
      </c>
      <c r="D28" s="59"/>
      <c r="E28" s="16">
        <f t="shared" si="0"/>
        <v>1161712.5</v>
      </c>
      <c r="F28" s="42"/>
      <c r="G28" s="17"/>
      <c r="H28" s="17"/>
      <c r="I28" s="19">
        <f t="shared" si="1"/>
        <v>19195</v>
      </c>
      <c r="J28" s="91">
        <f t="shared" si="2"/>
        <v>1180907.5</v>
      </c>
    </row>
    <row r="29" spans="1:10" x14ac:dyDescent="0.15">
      <c r="A29" s="27"/>
      <c r="B29" s="80" t="s">
        <v>52</v>
      </c>
      <c r="C29" s="92">
        <v>297000</v>
      </c>
      <c r="D29" s="112">
        <v>3626</v>
      </c>
      <c r="E29" s="16">
        <f t="shared" si="0"/>
        <v>1455086.5</v>
      </c>
      <c r="F29" s="42"/>
      <c r="G29" s="17"/>
      <c r="H29" s="17"/>
      <c r="I29" s="19">
        <f t="shared" si="1"/>
        <v>19195</v>
      </c>
      <c r="J29" s="91">
        <f t="shared" si="2"/>
        <v>1474281.5</v>
      </c>
    </row>
    <row r="30" spans="1:10" x14ac:dyDescent="0.15">
      <c r="A30" s="27"/>
      <c r="B30" s="99"/>
      <c r="C30" s="96"/>
      <c r="D30" s="59"/>
      <c r="E30" s="16">
        <f t="shared" si="0"/>
        <v>1455086.5</v>
      </c>
      <c r="F30" s="29"/>
      <c r="G30" s="30"/>
      <c r="H30" s="30"/>
      <c r="I30" s="19">
        <f t="shared" si="1"/>
        <v>19195</v>
      </c>
      <c r="J30" s="91">
        <f t="shared" si="2"/>
        <v>1474281.5</v>
      </c>
    </row>
    <row r="31" spans="1:10" x14ac:dyDescent="0.15">
      <c r="A31" s="27"/>
      <c r="B31" s="99"/>
      <c r="C31" s="96"/>
      <c r="D31" s="59"/>
      <c r="E31" s="16">
        <f t="shared" si="0"/>
        <v>1455086.5</v>
      </c>
      <c r="F31" s="29"/>
      <c r="G31" s="30"/>
      <c r="H31" s="30"/>
      <c r="I31" s="19">
        <f t="shared" si="1"/>
        <v>19195</v>
      </c>
      <c r="J31" s="91">
        <f t="shared" si="2"/>
        <v>1474281.5</v>
      </c>
    </row>
    <row r="32" spans="1:10" x14ac:dyDescent="0.15">
      <c r="A32" s="27"/>
      <c r="B32" s="80" t="s">
        <v>26</v>
      </c>
      <c r="C32" s="92">
        <v>66000</v>
      </c>
      <c r="D32" s="36">
        <v>385</v>
      </c>
      <c r="E32" s="16">
        <f t="shared" si="0"/>
        <v>1520701.5</v>
      </c>
      <c r="F32" s="44"/>
      <c r="G32" s="45"/>
      <c r="H32" s="30"/>
      <c r="I32" s="19">
        <f t="shared" si="1"/>
        <v>19195</v>
      </c>
      <c r="J32" s="91">
        <f t="shared" si="2"/>
        <v>1539896.5</v>
      </c>
    </row>
    <row r="33" spans="1:10" x14ac:dyDescent="0.15">
      <c r="A33" s="27"/>
      <c r="B33" s="99"/>
      <c r="C33" s="96"/>
      <c r="D33" s="59"/>
      <c r="E33" s="16">
        <f t="shared" si="0"/>
        <v>1520701.5</v>
      </c>
      <c r="F33" s="44"/>
      <c r="G33" s="17"/>
      <c r="H33" s="30"/>
      <c r="I33" s="19">
        <f t="shared" si="1"/>
        <v>19195</v>
      </c>
      <c r="J33" s="91">
        <f t="shared" si="2"/>
        <v>1539896.5</v>
      </c>
    </row>
    <row r="34" spans="1:10" x14ac:dyDescent="0.15">
      <c r="A34" s="27"/>
      <c r="B34" s="46" t="s">
        <v>25</v>
      </c>
      <c r="C34" s="47"/>
      <c r="D34" s="48">
        <v>6103</v>
      </c>
      <c r="E34" s="16">
        <f t="shared" si="0"/>
        <v>1514598.5</v>
      </c>
      <c r="F34" s="44"/>
      <c r="G34" s="17"/>
      <c r="H34" s="17"/>
      <c r="I34" s="19">
        <f t="shared" si="1"/>
        <v>19195</v>
      </c>
      <c r="J34" s="91">
        <f t="shared" si="2"/>
        <v>1533793.5</v>
      </c>
    </row>
    <row r="35" spans="1:10" x14ac:dyDescent="0.15">
      <c r="A35" s="27"/>
      <c r="B35" s="49" t="s">
        <v>24</v>
      </c>
      <c r="C35" s="47"/>
      <c r="D35" s="48">
        <v>7687</v>
      </c>
      <c r="E35" s="16">
        <f t="shared" si="0"/>
        <v>1506911.5</v>
      </c>
      <c r="F35" s="44"/>
      <c r="G35" s="17"/>
      <c r="H35" s="17"/>
      <c r="I35" s="19">
        <f t="shared" si="1"/>
        <v>19195</v>
      </c>
      <c r="J35" s="91">
        <f t="shared" si="2"/>
        <v>1526106.5</v>
      </c>
    </row>
    <row r="36" spans="1:10" x14ac:dyDescent="0.15">
      <c r="A36" s="27"/>
      <c r="B36" s="49" t="s">
        <v>36</v>
      </c>
      <c r="C36" s="47"/>
      <c r="D36" s="48">
        <v>11534</v>
      </c>
      <c r="E36" s="16">
        <f t="shared" si="0"/>
        <v>1495377.5</v>
      </c>
      <c r="F36" s="29"/>
      <c r="G36" s="17"/>
      <c r="H36" s="17"/>
      <c r="I36" s="19">
        <f t="shared" si="1"/>
        <v>19195</v>
      </c>
      <c r="J36" s="91">
        <f t="shared" si="2"/>
        <v>1514572.5</v>
      </c>
    </row>
    <row r="37" spans="1:10" x14ac:dyDescent="0.15">
      <c r="A37" s="27"/>
      <c r="B37" s="46" t="s">
        <v>38</v>
      </c>
      <c r="C37" s="47"/>
      <c r="D37" s="48">
        <v>14451</v>
      </c>
      <c r="E37" s="16">
        <f t="shared" si="0"/>
        <v>1480926.5</v>
      </c>
      <c r="F37" s="29"/>
      <c r="G37" s="30"/>
      <c r="H37" s="17"/>
      <c r="I37" s="19">
        <f t="shared" si="1"/>
        <v>19195</v>
      </c>
      <c r="J37" s="91">
        <f t="shared" si="2"/>
        <v>1500121.5</v>
      </c>
    </row>
    <row r="38" spans="1:10" x14ac:dyDescent="0.15">
      <c r="A38" s="27"/>
      <c r="B38" s="49" t="s">
        <v>35</v>
      </c>
      <c r="C38" s="50"/>
      <c r="D38" s="50">
        <v>9753</v>
      </c>
      <c r="E38" s="16">
        <f t="shared" si="0"/>
        <v>1471173.5</v>
      </c>
      <c r="F38" s="42"/>
      <c r="G38" s="17"/>
      <c r="H38" s="17"/>
      <c r="I38" s="19">
        <f t="shared" si="1"/>
        <v>19195</v>
      </c>
      <c r="J38" s="91">
        <f t="shared" si="2"/>
        <v>1490368.5</v>
      </c>
    </row>
    <row r="39" spans="1:10" x14ac:dyDescent="0.15">
      <c r="A39" s="56"/>
      <c r="B39" s="95"/>
      <c r="C39" s="96"/>
      <c r="D39" s="59"/>
      <c r="E39" s="16">
        <f t="shared" si="0"/>
        <v>1471173.5</v>
      </c>
      <c r="F39" s="57"/>
      <c r="G39" s="30"/>
      <c r="H39" s="17"/>
      <c r="I39" s="19">
        <f t="shared" si="1"/>
        <v>19195</v>
      </c>
      <c r="J39" s="91">
        <f t="shared" si="2"/>
        <v>1490368.5</v>
      </c>
    </row>
    <row r="40" spans="1:10" x14ac:dyDescent="0.15">
      <c r="A40" s="27"/>
      <c r="B40" s="39" t="s">
        <v>20</v>
      </c>
      <c r="C40" s="40"/>
      <c r="D40" s="40">
        <v>18783</v>
      </c>
      <c r="E40" s="16">
        <f t="shared" si="0"/>
        <v>1452390.5</v>
      </c>
      <c r="F40" s="29"/>
      <c r="G40" s="30"/>
      <c r="H40" s="17"/>
      <c r="I40" s="19">
        <f t="shared" si="1"/>
        <v>19195</v>
      </c>
      <c r="J40" s="91">
        <f t="shared" si="2"/>
        <v>1471585.5</v>
      </c>
    </row>
    <row r="41" spans="1:10" x14ac:dyDescent="0.15">
      <c r="A41" s="27"/>
      <c r="B41" s="51" t="s">
        <v>32</v>
      </c>
      <c r="C41" s="52"/>
      <c r="D41" s="53">
        <v>10780</v>
      </c>
      <c r="E41" s="16">
        <f t="shared" si="0"/>
        <v>1441610.5</v>
      </c>
      <c r="F41" s="29"/>
      <c r="G41" s="30"/>
      <c r="H41" s="17"/>
      <c r="I41" s="19">
        <f t="shared" si="1"/>
        <v>19195</v>
      </c>
      <c r="J41" s="91">
        <f t="shared" si="2"/>
        <v>1460805.5</v>
      </c>
    </row>
    <row r="42" spans="1:10" x14ac:dyDescent="0.15">
      <c r="A42" s="27"/>
      <c r="B42" s="86" t="s">
        <v>28</v>
      </c>
      <c r="C42" s="87"/>
      <c r="D42" s="87">
        <v>29851</v>
      </c>
      <c r="E42" s="16">
        <f t="shared" si="0"/>
        <v>1411759.5</v>
      </c>
      <c r="F42" s="29"/>
      <c r="G42" s="30"/>
      <c r="H42" s="17"/>
      <c r="I42" s="19">
        <f t="shared" si="1"/>
        <v>19195</v>
      </c>
      <c r="J42" s="91">
        <f t="shared" si="2"/>
        <v>1430954.5</v>
      </c>
    </row>
    <row r="43" spans="1:10" x14ac:dyDescent="0.15">
      <c r="A43" s="27"/>
      <c r="B43" s="95"/>
      <c r="C43" s="96"/>
      <c r="D43" s="59"/>
      <c r="E43" s="16">
        <f t="shared" si="0"/>
        <v>1411759.5</v>
      </c>
      <c r="F43" s="29"/>
      <c r="G43" s="30"/>
      <c r="H43" s="17"/>
      <c r="I43" s="19">
        <f t="shared" si="1"/>
        <v>19195</v>
      </c>
      <c r="J43" s="91">
        <f t="shared" si="2"/>
        <v>1430954.5</v>
      </c>
    </row>
    <row r="44" spans="1:10" x14ac:dyDescent="0.15">
      <c r="A44" s="27"/>
      <c r="B44" s="95"/>
      <c r="C44" s="96"/>
      <c r="D44" s="59"/>
      <c r="E44" s="16">
        <f t="shared" si="0"/>
        <v>1411759.5</v>
      </c>
      <c r="F44" s="100"/>
      <c r="G44" s="101"/>
      <c r="H44" s="97"/>
      <c r="I44" s="19">
        <f t="shared" si="1"/>
        <v>19195</v>
      </c>
      <c r="J44" s="91">
        <f t="shared" si="2"/>
        <v>1430954.5</v>
      </c>
    </row>
    <row r="45" spans="1:10" x14ac:dyDescent="0.15">
      <c r="A45" s="27"/>
      <c r="B45" s="95"/>
      <c r="C45" s="96"/>
      <c r="D45" s="59"/>
      <c r="E45" s="16">
        <f t="shared" si="0"/>
        <v>1411759.5</v>
      </c>
      <c r="F45" s="29"/>
      <c r="G45" s="30"/>
      <c r="H45" s="43"/>
      <c r="I45" s="19">
        <f t="shared" si="1"/>
        <v>19195</v>
      </c>
      <c r="J45" s="91">
        <f t="shared" si="2"/>
        <v>1430954.5</v>
      </c>
    </row>
    <row r="46" spans="1:10" x14ac:dyDescent="0.15">
      <c r="A46" s="27"/>
      <c r="B46" s="95"/>
      <c r="C46" s="96"/>
      <c r="D46" s="59"/>
      <c r="E46" s="16">
        <f t="shared" si="0"/>
        <v>1411759.5</v>
      </c>
      <c r="F46" s="42"/>
      <c r="G46" s="17"/>
      <c r="H46" s="43"/>
      <c r="I46" s="19">
        <f t="shared" si="1"/>
        <v>19195</v>
      </c>
      <c r="J46" s="91">
        <f t="shared" si="2"/>
        <v>1430954.5</v>
      </c>
    </row>
    <row r="47" spans="1:10" x14ac:dyDescent="0.15">
      <c r="A47" s="27"/>
      <c r="B47" s="95"/>
      <c r="C47" s="96"/>
      <c r="D47" s="59"/>
      <c r="E47" s="16">
        <f t="shared" si="0"/>
        <v>1411759.5</v>
      </c>
      <c r="F47" s="42"/>
      <c r="G47" s="17"/>
      <c r="H47" s="17"/>
      <c r="I47" s="19">
        <f t="shared" si="1"/>
        <v>19195</v>
      </c>
      <c r="J47" s="91">
        <f t="shared" si="2"/>
        <v>1430954.5</v>
      </c>
    </row>
    <row r="48" spans="1:10" x14ac:dyDescent="0.15">
      <c r="A48" s="27"/>
      <c r="B48" s="95"/>
      <c r="C48" s="96"/>
      <c r="D48" s="59"/>
      <c r="E48" s="16">
        <f t="shared" si="0"/>
        <v>1411759.5</v>
      </c>
      <c r="F48" s="70"/>
      <c r="G48" s="30"/>
      <c r="H48" s="30"/>
      <c r="I48" s="19">
        <f t="shared" si="1"/>
        <v>19195</v>
      </c>
      <c r="J48" s="91">
        <f t="shared" si="2"/>
        <v>1430954.5</v>
      </c>
    </row>
    <row r="49" spans="1:10" x14ac:dyDescent="0.15">
      <c r="A49" s="27"/>
      <c r="B49" s="95"/>
      <c r="C49" s="96"/>
      <c r="D49" s="59"/>
      <c r="E49" s="16">
        <f t="shared" si="0"/>
        <v>1411759.5</v>
      </c>
      <c r="F49" s="70"/>
      <c r="G49" s="30">
        <v>12</v>
      </c>
      <c r="H49" s="30"/>
      <c r="I49" s="19">
        <f t="shared" si="1"/>
        <v>19207</v>
      </c>
      <c r="J49" s="91">
        <f t="shared" si="2"/>
        <v>1430966.5</v>
      </c>
    </row>
    <row r="50" spans="1:10" x14ac:dyDescent="0.15">
      <c r="A50" s="27"/>
      <c r="B50" s="95"/>
      <c r="C50" s="96"/>
      <c r="D50" s="59"/>
      <c r="E50" s="16">
        <f t="shared" si="0"/>
        <v>1411759.5</v>
      </c>
      <c r="F50" s="60" t="s">
        <v>18</v>
      </c>
      <c r="G50" s="61"/>
      <c r="H50" s="61"/>
      <c r="I50" s="19">
        <f t="shared" si="1"/>
        <v>19207</v>
      </c>
      <c r="J50" s="91">
        <f t="shared" si="2"/>
        <v>1430966.5</v>
      </c>
    </row>
    <row r="51" spans="1:10" x14ac:dyDescent="0.15">
      <c r="A51" s="27"/>
      <c r="B51" s="95"/>
      <c r="C51" s="96"/>
      <c r="D51" s="59"/>
      <c r="E51" s="16">
        <f t="shared" si="0"/>
        <v>1411759.5</v>
      </c>
      <c r="F51" s="60" t="s">
        <v>12</v>
      </c>
      <c r="G51" s="61"/>
      <c r="H51" s="61">
        <v>3748</v>
      </c>
      <c r="I51" s="19">
        <f t="shared" si="1"/>
        <v>15459</v>
      </c>
      <c r="J51" s="91">
        <f t="shared" si="2"/>
        <v>1427218.5</v>
      </c>
    </row>
    <row r="52" spans="1:10" x14ac:dyDescent="0.15">
      <c r="A52" s="79"/>
      <c r="B52" s="93"/>
      <c r="C52" s="82"/>
      <c r="D52" s="62"/>
      <c r="E52" s="63">
        <f t="shared" si="0"/>
        <v>1411759.5</v>
      </c>
      <c r="F52" s="64"/>
      <c r="G52" s="65"/>
      <c r="H52" s="65"/>
      <c r="I52" s="66">
        <f t="shared" si="1"/>
        <v>15459</v>
      </c>
      <c r="J52" s="67">
        <f t="shared" si="2"/>
        <v>1427218.5</v>
      </c>
    </row>
    <row r="53" spans="1:10" x14ac:dyDescent="0.15">
      <c r="E53" s="43"/>
      <c r="I53" s="43"/>
    </row>
    <row r="54" spans="1:10" s="5" customFormat="1" x14ac:dyDescent="0.15">
      <c r="A54" s="4"/>
      <c r="B54" s="68"/>
      <c r="C54" s="69">
        <f>SUM(C6:C52)</f>
        <v>1616182</v>
      </c>
      <c r="D54" s="69">
        <f>SUM(D6:D52)</f>
        <v>2207887</v>
      </c>
      <c r="E54" s="70"/>
      <c r="F54" s="69"/>
      <c r="G54" s="69">
        <f>SUM(G6:G52)</f>
        <v>12</v>
      </c>
      <c r="H54" s="69">
        <f>SUM(H6:H52)</f>
        <v>3748</v>
      </c>
      <c r="I54" s="69"/>
    </row>
    <row r="55" spans="1:10" s="5" customFormat="1" x14ac:dyDescent="0.15">
      <c r="A55" s="4"/>
      <c r="B55" s="71"/>
      <c r="C55" s="72"/>
      <c r="D55" s="69"/>
      <c r="F55" s="68"/>
      <c r="H55" s="5">
        <f>+D54+H54</f>
        <v>2211635</v>
      </c>
    </row>
    <row r="56" spans="1:10" s="5" customFormat="1" x14ac:dyDescent="0.15">
      <c r="A56" s="4"/>
      <c r="B56" s="3"/>
      <c r="C56" s="73" t="s">
        <v>21</v>
      </c>
      <c r="D56" s="73" t="s">
        <v>22</v>
      </c>
      <c r="F56" s="68"/>
    </row>
    <row r="57" spans="1:10" x14ac:dyDescent="0.15">
      <c r="B57" s="74"/>
      <c r="C57" s="75">
        <f>SUM(C54,G54)</f>
        <v>1616194</v>
      </c>
      <c r="D57" s="75">
        <f>SUM(D54,H54)</f>
        <v>2211635</v>
      </c>
    </row>
    <row r="58" spans="1:10" x14ac:dyDescent="0.15">
      <c r="B58" s="74"/>
      <c r="C58" s="76"/>
      <c r="D58" s="77"/>
    </row>
  </sheetData>
  <phoneticPr fontId="2"/>
  <pageMargins left="0.15748031496062992" right="0.19685039370078741" top="0.15748031496062992" bottom="0.15748031496062992" header="0.15748031496062992" footer="0.19685039370078741"/>
  <pageSetup paperSize="9" scale="85" orientation="landscape" r:id="rId1"/>
  <headerFooter alignWithMargins="0">
    <oddHeader>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25'06月</vt:lpstr>
      <vt:lpstr>25'07月</vt:lpstr>
      <vt:lpstr>25'08月</vt:lpstr>
      <vt:lpstr>'25''06月'!Print_Area</vt:lpstr>
      <vt:lpstr>'25''07月'!Print_Area</vt:lpstr>
      <vt:lpstr>'25''08月'!Print_Area</vt:lpstr>
    </vt:vector>
  </TitlesOfParts>
  <Company>株式会社コムテック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CTEJ</dc:creator>
  <cp:lastModifiedBy>Tomoharu Nagao</cp:lastModifiedBy>
  <cp:lastPrinted>2024-11-20T05:25:32Z</cp:lastPrinted>
  <dcterms:created xsi:type="dcterms:W3CDTF">1999-02-22T06:17:26Z</dcterms:created>
  <dcterms:modified xsi:type="dcterms:W3CDTF">2026-09-08T06:32:26Z</dcterms:modified>
</cp:coreProperties>
</file>