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tanabe\②顧問先別資料\06月　㈱コムテックエンタープライズ\送信用\2026.09.09-2\"/>
    </mc:Choice>
  </mc:AlternateContent>
  <xr:revisionPtr revIDLastSave="0" documentId="13_ncr:1_{95AD20D9-395C-459A-9A9A-3CF001B21D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クレジット" sheetId="2" r:id="rId1"/>
    <sheet name="CSV" sheetId="1" r:id="rId2"/>
    <sheet name="Sheet1" sheetId="3" r:id="rId3"/>
  </sheets>
  <definedNames>
    <definedName name="_xlnm.Print_Area" localSheetId="1">CSV!$A$1:$E$1</definedName>
    <definedName name="_xlnm.Print_Area" localSheetId="0">クレジット!$A$1:$F$57</definedName>
  </definedNames>
  <calcPr calcId="191029"/>
</workbook>
</file>

<file path=xl/calcChain.xml><?xml version="1.0" encoding="utf-8"?>
<calcChain xmlns="http://schemas.openxmlformats.org/spreadsheetml/2006/main">
  <c r="H5" i="1" l="1"/>
  <c r="A1" i="1"/>
  <c r="D1" i="1"/>
  <c r="H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I4" i="1"/>
  <c r="O4" i="1" s="1"/>
  <c r="I5" i="1"/>
  <c r="O5" i="1" s="1"/>
  <c r="I6" i="1"/>
  <c r="O6" i="1" s="1"/>
  <c r="I7" i="1"/>
  <c r="O7" i="1" s="1"/>
  <c r="I8" i="1"/>
  <c r="O8" i="1" s="1"/>
  <c r="I9" i="1"/>
  <c r="O9" i="1" s="1"/>
  <c r="I10" i="1"/>
  <c r="O10" i="1" s="1"/>
  <c r="I11" i="1"/>
  <c r="O11" i="1" s="1"/>
  <c r="I12" i="1"/>
  <c r="O12" i="1" s="1"/>
  <c r="I13" i="1"/>
  <c r="O13" i="1" s="1"/>
  <c r="I14" i="1"/>
  <c r="O14" i="1" s="1"/>
  <c r="I15" i="1"/>
  <c r="O15" i="1" s="1"/>
  <c r="I16" i="1"/>
  <c r="O16" i="1" s="1"/>
  <c r="I17" i="1"/>
  <c r="O17" i="1" s="1"/>
  <c r="I18" i="1"/>
  <c r="O18" i="1" s="1"/>
  <c r="I19" i="1"/>
  <c r="O19" i="1" s="1"/>
  <c r="I20" i="1"/>
  <c r="O20" i="1" s="1"/>
  <c r="I21" i="1"/>
  <c r="O21" i="1" s="1"/>
  <c r="I22" i="1"/>
  <c r="O22" i="1" s="1"/>
  <c r="I23" i="1"/>
  <c r="O23" i="1" s="1"/>
  <c r="I24" i="1"/>
  <c r="O24" i="1" s="1"/>
  <c r="I25" i="1"/>
  <c r="O25" i="1" s="1"/>
  <c r="I26" i="1"/>
  <c r="O26" i="1" s="1"/>
  <c r="I27" i="1"/>
  <c r="O27" i="1" s="1"/>
  <c r="I28" i="1"/>
  <c r="O28" i="1" s="1"/>
  <c r="I29" i="1"/>
  <c r="O29" i="1" s="1"/>
  <c r="I30" i="1"/>
  <c r="O30" i="1" s="1"/>
  <c r="I31" i="1"/>
  <c r="O31" i="1" s="1"/>
  <c r="I32" i="1"/>
  <c r="O32" i="1" s="1"/>
  <c r="I33" i="1"/>
  <c r="O33" i="1" s="1"/>
  <c r="I34" i="1"/>
  <c r="O34" i="1" s="1"/>
  <c r="I35" i="1"/>
  <c r="O35" i="1" s="1"/>
  <c r="I36" i="1"/>
  <c r="O36" i="1" s="1"/>
  <c r="I37" i="1"/>
  <c r="O37" i="1" s="1"/>
  <c r="I38" i="1"/>
  <c r="O38" i="1" s="1"/>
  <c r="I39" i="1"/>
  <c r="O39" i="1" s="1"/>
  <c r="I40" i="1"/>
  <c r="O40" i="1" s="1"/>
  <c r="I41" i="1"/>
  <c r="O41" i="1" s="1"/>
  <c r="I42" i="1"/>
  <c r="O42" i="1" s="1"/>
  <c r="I43" i="1"/>
  <c r="O43" i="1" s="1"/>
  <c r="I44" i="1"/>
  <c r="O44" i="1" s="1"/>
  <c r="I45" i="1"/>
  <c r="O45" i="1" s="1"/>
  <c r="I46" i="1"/>
  <c r="O46" i="1" s="1"/>
  <c r="I47" i="1"/>
  <c r="O47" i="1" s="1"/>
  <c r="I48" i="1"/>
  <c r="O48" i="1" s="1"/>
  <c r="I49" i="1"/>
  <c r="O49" i="1" s="1"/>
  <c r="I50" i="1"/>
  <c r="O50" i="1" s="1"/>
  <c r="I51" i="1"/>
  <c r="O51" i="1" s="1"/>
  <c r="I52" i="1"/>
  <c r="O52" i="1" s="1"/>
  <c r="I53" i="1"/>
  <c r="O53" i="1" s="1"/>
  <c r="I54" i="1"/>
  <c r="O54" i="1" s="1"/>
  <c r="I55" i="1"/>
  <c r="O55" i="1" s="1"/>
  <c r="I56" i="1"/>
  <c r="O56" i="1" s="1"/>
  <c r="H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C1" i="1"/>
  <c r="B1" i="1"/>
  <c r="Q3" i="1" l="1"/>
  <c r="I3" i="1"/>
  <c r="O3" i="1" s="1"/>
  <c r="O57" i="1" s="1"/>
  <c r="E3" i="1"/>
  <c r="D3" i="1"/>
  <c r="D57" i="2"/>
  <c r="I57" i="1" l="1"/>
</calcChain>
</file>

<file path=xl/sharedStrings.xml><?xml version="1.0" encoding="utf-8"?>
<sst xmlns="http://schemas.openxmlformats.org/spreadsheetml/2006/main" count="279" uniqueCount="81">
  <si>
    <t>対象外</t>
  </si>
  <si>
    <t>no</t>
  </si>
  <si>
    <t>入力方法</t>
  </si>
  <si>
    <t>日付</t>
  </si>
  <si>
    <t>勘定科目</t>
  </si>
  <si>
    <t>消費税区分</t>
  </si>
  <si>
    <t>金額</t>
  </si>
  <si>
    <t>　仕入10％</t>
  </si>
  <si>
    <t>　仕入8％（軽）</t>
  </si>
  <si>
    <t>　対象外</t>
  </si>
  <si>
    <t>計</t>
    <rPh sb="0" eb="1">
      <t>ケイ</t>
    </rPh>
    <phoneticPr fontId="18"/>
  </si>
  <si>
    <t>摘要</t>
    <rPh sb="0" eb="2">
      <t>テキヨウ</t>
    </rPh>
    <phoneticPr fontId="18"/>
  </si>
  <si>
    <t>日付</t>
    <rPh sb="0" eb="2">
      <t>ヒヅケ</t>
    </rPh>
    <phoneticPr fontId="18"/>
  </si>
  <si>
    <t>備考</t>
    <rPh sb="0" eb="2">
      <t>ビコウ</t>
    </rPh>
    <phoneticPr fontId="18"/>
  </si>
  <si>
    <t>11/4</t>
    <phoneticPr fontId="18"/>
  </si>
  <si>
    <t>11/5</t>
    <phoneticPr fontId="18"/>
  </si>
  <si>
    <t>11/6</t>
    <phoneticPr fontId="18"/>
  </si>
  <si>
    <t>11/7</t>
    <phoneticPr fontId="18"/>
  </si>
  <si>
    <t>11/8</t>
    <phoneticPr fontId="18"/>
  </si>
  <si>
    <t>広告宣伝費</t>
    <rPh sb="0" eb="5">
      <t>コウコクセンデンヒ</t>
    </rPh>
    <phoneticPr fontId="18"/>
  </si>
  <si>
    <t>旅費交通費</t>
    <rPh sb="0" eb="5">
      <t>リョヒコウツウヒ</t>
    </rPh>
    <phoneticPr fontId="18"/>
  </si>
  <si>
    <t>通信費</t>
    <rPh sb="0" eb="3">
      <t>ツウシンヒ</t>
    </rPh>
    <phoneticPr fontId="18"/>
  </si>
  <si>
    <t>消耗品費</t>
    <rPh sb="0" eb="4">
      <t>ショウモウヒンヒ</t>
    </rPh>
    <phoneticPr fontId="18"/>
  </si>
  <si>
    <t>支払金額</t>
    <rPh sb="0" eb="2">
      <t>シハライ</t>
    </rPh>
    <rPh sb="2" eb="4">
      <t>キンガク</t>
    </rPh>
    <phoneticPr fontId="18"/>
  </si>
  <si>
    <t>計</t>
    <rPh sb="0" eb="1">
      <t>ケイ</t>
    </rPh>
    <phoneticPr fontId="18"/>
  </si>
  <si>
    <t>【クレジット】</t>
    <phoneticPr fontId="18"/>
  </si>
  <si>
    <t>仕入高</t>
    <rPh sb="0" eb="2">
      <t>シイレ</t>
    </rPh>
    <rPh sb="2" eb="3">
      <t>ダカ</t>
    </rPh>
    <phoneticPr fontId="18"/>
  </si>
  <si>
    <t>外注費</t>
    <rPh sb="0" eb="3">
      <t>ガイチュウヒ</t>
    </rPh>
    <phoneticPr fontId="18"/>
  </si>
  <si>
    <t>福利厚生費</t>
    <rPh sb="0" eb="2">
      <t>フクリ</t>
    </rPh>
    <rPh sb="2" eb="5">
      <t>コウセイヒ</t>
    </rPh>
    <phoneticPr fontId="18"/>
  </si>
  <si>
    <t>荷造運賃</t>
    <rPh sb="0" eb="2">
      <t>ニヅク</t>
    </rPh>
    <rPh sb="2" eb="4">
      <t>ウンチン</t>
    </rPh>
    <phoneticPr fontId="18"/>
  </si>
  <si>
    <t>水道光熱費</t>
    <rPh sb="0" eb="2">
      <t>スイドウ</t>
    </rPh>
    <rPh sb="2" eb="5">
      <t>コウネツヒ</t>
    </rPh>
    <phoneticPr fontId="18"/>
  </si>
  <si>
    <t>租税公課</t>
    <rPh sb="0" eb="4">
      <t>ソゼイコウカ</t>
    </rPh>
    <phoneticPr fontId="18"/>
  </si>
  <si>
    <t>交際費</t>
    <rPh sb="0" eb="3">
      <t>コウサイヒ</t>
    </rPh>
    <phoneticPr fontId="18"/>
  </si>
  <si>
    <t>賃借料</t>
    <rPh sb="0" eb="3">
      <t>チンシャクリョウ</t>
    </rPh>
    <phoneticPr fontId="18"/>
  </si>
  <si>
    <t>修繕費</t>
    <rPh sb="0" eb="3">
      <t>シュウゼンヒ</t>
    </rPh>
    <phoneticPr fontId="18"/>
  </si>
  <si>
    <t>保険料</t>
    <rPh sb="0" eb="3">
      <t>ホケンリョウ</t>
    </rPh>
    <phoneticPr fontId="18"/>
  </si>
  <si>
    <t>支払手数料</t>
    <rPh sb="0" eb="2">
      <t>シハライ</t>
    </rPh>
    <rPh sb="2" eb="5">
      <t>テスウリョウ</t>
    </rPh>
    <phoneticPr fontId="18"/>
  </si>
  <si>
    <t>リース料</t>
    <rPh sb="3" eb="4">
      <t>リョウ</t>
    </rPh>
    <phoneticPr fontId="18"/>
  </si>
  <si>
    <t>会議費</t>
    <rPh sb="0" eb="3">
      <t>カイギヒ</t>
    </rPh>
    <phoneticPr fontId="18"/>
  </si>
  <si>
    <t>車輌燃料費</t>
    <rPh sb="0" eb="2">
      <t>シャリョウ</t>
    </rPh>
    <rPh sb="2" eb="5">
      <t>ネンリョウヒ</t>
    </rPh>
    <phoneticPr fontId="18"/>
  </si>
  <si>
    <t>諸会費</t>
    <rPh sb="0" eb="3">
      <t>ショカイヒ</t>
    </rPh>
    <phoneticPr fontId="18"/>
  </si>
  <si>
    <t>雑費</t>
    <rPh sb="0" eb="2">
      <t>ザッピ</t>
    </rPh>
    <phoneticPr fontId="18"/>
  </si>
  <si>
    <t>仮払金</t>
    <rPh sb="0" eb="2">
      <t>カリバライ</t>
    </rPh>
    <rPh sb="2" eb="3">
      <t>キン</t>
    </rPh>
    <phoneticPr fontId="18"/>
  </si>
  <si>
    <t>　仕入8％（旧）</t>
    <rPh sb="6" eb="7">
      <t>キュウ</t>
    </rPh>
    <phoneticPr fontId="18"/>
  </si>
  <si>
    <t>雑収入</t>
    <rPh sb="0" eb="3">
      <t>ザッシュウニュウ</t>
    </rPh>
    <phoneticPr fontId="18"/>
  </si>
  <si>
    <t>コピぺ</t>
    <phoneticPr fontId="18"/>
  </si>
  <si>
    <t>例示</t>
    <rPh sb="0" eb="2">
      <t>レイジ</t>
    </rPh>
    <phoneticPr fontId="18"/>
  </si>
  <si>
    <t>勘定科目</t>
    <rPh sb="0" eb="4">
      <t>カンジョウカモク</t>
    </rPh>
    <phoneticPr fontId="18"/>
  </si>
  <si>
    <t>消費税区分</t>
    <rPh sb="0" eb="3">
      <t>ショウヒゼイ</t>
    </rPh>
    <rPh sb="3" eb="5">
      <t>クブン</t>
    </rPh>
    <phoneticPr fontId="18"/>
  </si>
  <si>
    <t>交際費</t>
    <rPh sb="0" eb="2">
      <t>コウサイ</t>
    </rPh>
    <rPh sb="2" eb="3">
      <t>ヒ</t>
    </rPh>
    <phoneticPr fontId="18"/>
  </si>
  <si>
    <t>藤原ゴルフ　</t>
    <phoneticPr fontId="18"/>
  </si>
  <si>
    <t>仕入10％</t>
  </si>
  <si>
    <t>藤原ゴルフ　ドリンク代　⑧</t>
    <phoneticPr fontId="18"/>
  </si>
  <si>
    <t>　仕入8％(軽)</t>
    <phoneticPr fontId="18"/>
  </si>
  <si>
    <t>エネオス　軽油代</t>
    <phoneticPr fontId="18"/>
  </si>
  <si>
    <t>カーマ　材料仕入</t>
    <phoneticPr fontId="18"/>
  </si>
  <si>
    <t>仕入10％</t>
    <phoneticPr fontId="18"/>
  </si>
  <si>
    <t>自販機ジュース代　⑧</t>
    <phoneticPr fontId="18"/>
  </si>
  <si>
    <t>印紙代　②</t>
    <phoneticPr fontId="18"/>
  </si>
  <si>
    <t>運賃</t>
    <rPh sb="0" eb="2">
      <t>ウンチン</t>
    </rPh>
    <phoneticPr fontId="18"/>
  </si>
  <si>
    <t>ヤマト運輸　運賃</t>
    <rPh sb="6" eb="8">
      <t>ウンチン</t>
    </rPh>
    <phoneticPr fontId="18"/>
  </si>
  <si>
    <t>　R8.09.11 引落し分</t>
    <rPh sb="10" eb="12">
      <t>ヒキオト</t>
    </rPh>
    <rPh sb="13" eb="14">
      <t>フン</t>
    </rPh>
    <phoneticPr fontId="18"/>
  </si>
  <si>
    <t>　トヨタF</t>
    <phoneticPr fontId="18"/>
  </si>
  <si>
    <r>
      <rPr>
        <sz val="9"/>
        <rFont val="游ゴシック"/>
        <family val="3"/>
        <charset val="128"/>
        <scheme val="minor"/>
      </rPr>
      <t>〇〇</t>
    </r>
    <r>
      <rPr>
        <sz val="11"/>
        <rFont val="游ゴシック"/>
        <family val="3"/>
        <charset val="128"/>
        <scheme val="minor"/>
      </rPr>
      <t>/</t>
    </r>
    <r>
      <rPr>
        <sz val="9"/>
        <rFont val="游ゴシック"/>
        <family val="3"/>
        <charset val="128"/>
        <scheme val="minor"/>
      </rPr>
      <t>〇〇</t>
    </r>
    <phoneticPr fontId="18"/>
  </si>
  <si>
    <r>
      <t>　(1)インボイス番号ない場合　</t>
    </r>
    <r>
      <rPr>
        <b/>
        <sz val="11"/>
        <color theme="1"/>
        <rFont val="游ゴシック"/>
        <family val="3"/>
        <charset val="128"/>
        <scheme val="minor"/>
      </rPr>
      <t>①</t>
    </r>
    <rPh sb="9" eb="11">
      <t>バンゴウ</t>
    </rPh>
    <rPh sb="13" eb="15">
      <t>バアイ</t>
    </rPh>
    <phoneticPr fontId="18"/>
  </si>
  <si>
    <r>
      <t>　(2)軽減税率の場合　</t>
    </r>
    <r>
      <rPr>
        <b/>
        <sz val="11"/>
        <color theme="1"/>
        <rFont val="游ゴシック"/>
        <family val="3"/>
        <charset val="128"/>
        <scheme val="minor"/>
      </rPr>
      <t>⑧</t>
    </r>
    <rPh sb="4" eb="6">
      <t>ケイゲン</t>
    </rPh>
    <rPh sb="6" eb="8">
      <t>ゼイリツ</t>
    </rPh>
    <rPh sb="9" eb="11">
      <t>バアイ</t>
    </rPh>
    <phoneticPr fontId="18"/>
  </si>
  <si>
    <r>
      <t>　(3)軽減税率でインボイス番号がない場合　</t>
    </r>
    <r>
      <rPr>
        <b/>
        <sz val="11"/>
        <color theme="1"/>
        <rFont val="游ゴシック"/>
        <family val="3"/>
        <charset val="128"/>
        <scheme val="minor"/>
      </rPr>
      <t>⑧①</t>
    </r>
    <rPh sb="4" eb="6">
      <t>ケイゲン</t>
    </rPh>
    <rPh sb="6" eb="8">
      <t>ゼイリツ</t>
    </rPh>
    <rPh sb="14" eb="16">
      <t>バンゴウ</t>
    </rPh>
    <rPh sb="19" eb="21">
      <t>バアイ</t>
    </rPh>
    <phoneticPr fontId="18"/>
  </si>
  <si>
    <t>藤原ゴルフ　利用税等　②</t>
    <rPh sb="9" eb="10">
      <t>トウ</t>
    </rPh>
    <phoneticPr fontId="18"/>
  </si>
  <si>
    <t>クレジット複合</t>
    <rPh sb="5" eb="7">
      <t>フクゴウ</t>
    </rPh>
    <phoneticPr fontId="18"/>
  </si>
  <si>
    <t>摘要に記載する隠語（記号）の例示</t>
    <rPh sb="0" eb="2">
      <t>テキヨウ</t>
    </rPh>
    <rPh sb="3" eb="5">
      <t>キサイ</t>
    </rPh>
    <rPh sb="7" eb="8">
      <t>イン</t>
    </rPh>
    <rPh sb="8" eb="9">
      <t>ゴ</t>
    </rPh>
    <rPh sb="10" eb="12">
      <t>キゴウ</t>
    </rPh>
    <rPh sb="14" eb="16">
      <t>レイジ</t>
    </rPh>
    <phoneticPr fontId="18"/>
  </si>
  <si>
    <r>
      <t>　(4)対象外(不課税)・非課税の場合　</t>
    </r>
    <r>
      <rPr>
        <b/>
        <sz val="11"/>
        <color theme="1"/>
        <rFont val="游ゴシック"/>
        <family val="3"/>
        <charset val="128"/>
        <scheme val="minor"/>
      </rPr>
      <t>②</t>
    </r>
    <rPh sb="4" eb="7">
      <t>タイショウガイ</t>
    </rPh>
    <rPh sb="8" eb="9">
      <t>フ</t>
    </rPh>
    <rPh sb="9" eb="11">
      <t>カゼイ</t>
    </rPh>
    <rPh sb="13" eb="16">
      <t>ヒカゼイ</t>
    </rPh>
    <rPh sb="17" eb="19">
      <t>バアイ</t>
    </rPh>
    <phoneticPr fontId="18"/>
  </si>
  <si>
    <t>　　　※上場企業、ETCなどは①不要</t>
    <rPh sb="4" eb="8">
      <t>ジョウジョウキギョウ</t>
    </rPh>
    <rPh sb="16" eb="18">
      <t>フヨウ</t>
    </rPh>
    <phoneticPr fontId="18"/>
  </si>
  <si>
    <t>　　　※税金、保険料などは②不要</t>
    <rPh sb="4" eb="6">
      <t>ゼイキン</t>
    </rPh>
    <rPh sb="7" eb="9">
      <t>ホケン</t>
    </rPh>
    <rPh sb="9" eb="10">
      <t>リョウ</t>
    </rPh>
    <rPh sb="14" eb="16">
      <t>フヨウ</t>
    </rPh>
    <phoneticPr fontId="18"/>
  </si>
  <si>
    <t>対象外</t>
    <rPh sb="0" eb="3">
      <t>タイショウガイ</t>
    </rPh>
    <phoneticPr fontId="18"/>
  </si>
  <si>
    <t>長久手商工会費　②</t>
    <rPh sb="0" eb="3">
      <t>ナガクテ</t>
    </rPh>
    <rPh sb="3" eb="6">
      <t>ショウコウカイ</t>
    </rPh>
    <rPh sb="6" eb="7">
      <t>ヒ</t>
    </rPh>
    <phoneticPr fontId="18"/>
  </si>
  <si>
    <t>伊藤内職代　外注　①</t>
    <rPh sb="2" eb="5">
      <t>ナイショクダイ</t>
    </rPh>
    <rPh sb="6" eb="8">
      <t>ガイチュウ</t>
    </rPh>
    <phoneticPr fontId="18"/>
  </si>
  <si>
    <t>エネオス　軽油税　</t>
    <phoneticPr fontId="18"/>
  </si>
  <si>
    <t>相手先・内容</t>
    <rPh sb="0" eb="3">
      <t>アイテサキ</t>
    </rPh>
    <rPh sb="4" eb="6">
      <t>ナイヨウ</t>
    </rPh>
    <phoneticPr fontId="18"/>
  </si>
  <si>
    <t>プルダウン・コピぺ</t>
    <phoneticPr fontId="18"/>
  </si>
  <si>
    <t>摘要（相手先・内容）</t>
    <rPh sb="0" eb="2">
      <t>テキヨウ</t>
    </rPh>
    <rPh sb="7" eb="9">
      <t>ナイヨウ</t>
    </rPh>
    <phoneticPr fontId="18"/>
  </si>
  <si>
    <t>㈱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</si>
</sst>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vertical="center" shrinkToFit="1"/>
    </xf>
    <xf numFmtId="0" fontId="0" fillId="0" borderId="10" xfId="0" applyBorder="1" applyAlignment="1">
      <alignment horizontal="center" vertical="center" shrinkToFit="1"/>
    </xf>
    <xf numFmtId="0" fontId="0" fillId="34" borderId="10" xfId="0" applyFill="1" applyBorder="1" applyAlignment="1">
      <alignment vertical="center" shrinkToFit="1"/>
    </xf>
    <xf numFmtId="0" fontId="0" fillId="34" borderId="10" xfId="0" applyFill="1" applyBorder="1" applyAlignment="1">
      <alignment horizontal="center" vertical="center" shrinkToFit="1"/>
    </xf>
    <xf numFmtId="14" fontId="0" fillId="0" borderId="10" xfId="0" applyNumberFormat="1" applyBorder="1" applyAlignment="1" applyProtection="1">
      <alignment horizontal="center" vertical="center" shrinkToFit="1"/>
      <protection locked="0"/>
    </xf>
    <xf numFmtId="0" fontId="0" fillId="0" borderId="10" xfId="0" applyBorder="1" applyAlignment="1" applyProtection="1">
      <alignment vertical="center" shrinkToFit="1"/>
      <protection locked="0"/>
    </xf>
    <xf numFmtId="14" fontId="0" fillId="0" borderId="11" xfId="0" applyNumberFormat="1" applyBorder="1" applyAlignment="1" applyProtection="1">
      <alignment horizontal="center" vertical="center" shrinkToFit="1"/>
      <protection locked="0"/>
    </xf>
    <xf numFmtId="0" fontId="0" fillId="0" borderId="11" xfId="0" applyBorder="1" applyAlignment="1" applyProtection="1">
      <alignment vertical="center" shrinkToFit="1"/>
      <protection locked="0"/>
    </xf>
    <xf numFmtId="0" fontId="0" fillId="0" borderId="10" xfId="0" applyBorder="1" applyAlignment="1" applyProtection="1">
      <alignment horizontal="center"/>
      <protection locked="0"/>
    </xf>
    <xf numFmtId="38" fontId="0" fillId="0" borderId="11" xfId="42" applyFont="1" applyBorder="1" applyAlignment="1" applyProtection="1">
      <alignment horizontal="right"/>
      <protection locked="0"/>
    </xf>
    <xf numFmtId="38" fontId="0" fillId="0" borderId="10" xfId="42" applyFont="1" applyBorder="1" applyAlignment="1" applyProtection="1">
      <alignment horizontal="right"/>
      <protection locked="0"/>
    </xf>
    <xf numFmtId="0" fontId="0" fillId="0" borderId="0" xfId="0" applyAlignment="1">
      <alignment horizontal="center" vertical="center" shrinkToFit="1"/>
    </xf>
    <xf numFmtId="38" fontId="0" fillId="34" borderId="10" xfId="42" applyFont="1" applyFill="1" applyBorder="1" applyAlignment="1" applyProtection="1">
      <alignment vertical="center" shrinkToFit="1"/>
    </xf>
    <xf numFmtId="0" fontId="0" fillId="0" borderId="10" xfId="0" applyBorder="1" applyAlignment="1" applyProtection="1">
      <alignment horizontal="left" vertical="center" shrinkToFit="1"/>
      <protection locked="0"/>
    </xf>
    <xf numFmtId="0" fontId="0" fillId="0" borderId="10" xfId="0" applyBorder="1" applyAlignment="1" applyProtection="1">
      <alignment horizontal="center" vertical="center" shrinkToFit="1"/>
      <protection locked="0"/>
    </xf>
    <xf numFmtId="0" fontId="0" fillId="0" borderId="10" xfId="0" applyBorder="1" applyAlignment="1">
      <alignment horizontal="left" vertical="center" shrinkToFit="1"/>
    </xf>
    <xf numFmtId="49" fontId="0" fillId="0" borderId="13" xfId="0" applyNumberFormat="1" applyBorder="1" applyAlignment="1">
      <alignment horizontal="center" vertical="center" shrinkToFit="1"/>
    </xf>
    <xf numFmtId="0" fontId="0" fillId="0" borderId="13" xfId="0" applyBorder="1">
      <alignment vertical="center"/>
    </xf>
    <xf numFmtId="0" fontId="0" fillId="0" borderId="14" xfId="0" applyBorder="1" applyAlignment="1">
      <alignment vertical="center" shrinkToFit="1"/>
    </xf>
    <xf numFmtId="0" fontId="0" fillId="0" borderId="15" xfId="0" applyBorder="1" applyAlignment="1">
      <alignment vertical="center" shrinkToFit="1"/>
    </xf>
    <xf numFmtId="0" fontId="0" fillId="0" borderId="15" xfId="0" applyBorder="1">
      <alignment vertical="center"/>
    </xf>
    <xf numFmtId="0" fontId="0" fillId="0" borderId="11" xfId="0" applyBorder="1" applyAlignment="1" applyProtection="1">
      <alignment horizontal="left" shrinkToFit="1"/>
      <protection locked="0"/>
    </xf>
    <xf numFmtId="0" fontId="0" fillId="0" borderId="10" xfId="0" applyBorder="1" applyAlignment="1" applyProtection="1">
      <alignment horizontal="left" shrinkToFit="1"/>
      <protection locked="0"/>
    </xf>
    <xf numFmtId="0" fontId="0" fillId="0" borderId="11" xfId="0" applyBorder="1" applyAlignment="1" applyProtection="1">
      <alignment horizontal="center" vertical="center" shrinkToFit="1"/>
      <protection locked="0"/>
    </xf>
    <xf numFmtId="0" fontId="0" fillId="0" borderId="14" xfId="0" applyBorder="1" applyAlignment="1" applyProtection="1">
      <alignment horizontal="center" vertical="center" shrinkToFit="1"/>
      <protection locked="0"/>
    </xf>
    <xf numFmtId="49" fontId="0" fillId="0" borderId="10" xfId="0" applyNumberFormat="1" applyBorder="1" applyAlignment="1">
      <alignment horizontal="center" vertical="center" shrinkToFit="1"/>
    </xf>
    <xf numFmtId="0" fontId="19" fillId="0" borderId="0" xfId="0" applyFont="1">
      <alignment vertical="center"/>
    </xf>
    <xf numFmtId="0" fontId="0" fillId="34" borderId="11" xfId="0" applyFill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19" xfId="0" applyBorder="1" applyAlignment="1">
      <alignment horizontal="center" vertical="center" shrinkToFit="1"/>
    </xf>
    <xf numFmtId="38" fontId="0" fillId="0" borderId="19" xfId="42" applyFont="1" applyFill="1" applyBorder="1" applyAlignment="1" applyProtection="1">
      <alignment horizontal="right" vertical="center" shrinkToFit="1"/>
    </xf>
    <xf numFmtId="38" fontId="0" fillId="0" borderId="10" xfId="42" applyFont="1" applyFill="1" applyBorder="1" applyAlignment="1" applyProtection="1">
      <alignment horizontal="right" vertical="center" shrinkToFit="1"/>
    </xf>
    <xf numFmtId="38" fontId="0" fillId="0" borderId="10" xfId="42" applyFont="1" applyBorder="1" applyAlignment="1">
      <alignment horizontal="right" vertical="center" shrinkToFit="1"/>
    </xf>
    <xf numFmtId="14" fontId="0" fillId="0" borderId="10" xfId="0" applyNumberFormat="1" applyBorder="1" applyAlignment="1">
      <alignment horizontal="left" vertical="center" shrinkToFit="1"/>
    </xf>
    <xf numFmtId="0" fontId="0" fillId="33" borderId="12" xfId="0" applyFill="1" applyBorder="1" applyAlignment="1">
      <alignment vertical="center" shrinkToFit="1"/>
    </xf>
    <xf numFmtId="0" fontId="0" fillId="33" borderId="17" xfId="0" applyFill="1" applyBorder="1" applyAlignment="1">
      <alignment vertical="center" shrinkToFit="1"/>
    </xf>
    <xf numFmtId="0" fontId="0" fillId="34" borderId="10" xfId="0" applyFill="1" applyBorder="1" applyAlignment="1">
      <alignment horizontal="center" vertical="center"/>
    </xf>
    <xf numFmtId="0" fontId="20" fillId="0" borderId="19" xfId="0" applyFont="1" applyBorder="1" applyAlignment="1">
      <alignment horizontal="center"/>
    </xf>
    <xf numFmtId="38" fontId="0" fillId="0" borderId="0" xfId="42" applyFont="1" applyFill="1" applyBorder="1" applyAlignment="1" applyProtection="1">
      <alignment horizontal="right" vertical="center" shrinkToFit="1"/>
    </xf>
    <xf numFmtId="0" fontId="22" fillId="0" borderId="0" xfId="0" applyFont="1">
      <alignment vertical="center"/>
    </xf>
    <xf numFmtId="0" fontId="22" fillId="33" borderId="16" xfId="0" applyFont="1" applyFill="1" applyBorder="1" applyAlignment="1">
      <alignment vertical="center" shrinkToFit="1"/>
    </xf>
    <xf numFmtId="0" fontId="0" fillId="0" borderId="15" xfId="0" applyBorder="1" applyAlignment="1" applyProtection="1">
      <alignment horizontal="center" vertical="center" shrinkToFit="1"/>
      <protection locked="0"/>
    </xf>
    <xf numFmtId="49" fontId="19" fillId="0" borderId="18" xfId="0" applyNumberFormat="1" applyFont="1" applyBorder="1" applyAlignment="1" applyProtection="1">
      <alignment vertical="center" shrinkToFit="1"/>
      <protection locked="0"/>
    </xf>
    <xf numFmtId="0" fontId="0" fillId="0" borderId="0" xfId="0" applyAlignment="1">
      <alignment horizontal="left" vertical="center" shrinkToFit="1"/>
    </xf>
    <xf numFmtId="57" fontId="0" fillId="0" borderId="0" xfId="0" applyNumberFormat="1" applyAlignment="1">
      <alignment horizontal="left" vertical="center" shrinkToFit="1"/>
    </xf>
    <xf numFmtId="0" fontId="0" fillId="0" borderId="0" xfId="0" applyAlignment="1">
      <alignment vertical="center" shrinkToFit="1"/>
    </xf>
    <xf numFmtId="14" fontId="0" fillId="34" borderId="10" xfId="0" applyNumberFormat="1" applyFill="1" applyBorder="1" applyAlignment="1">
      <alignment horizontal="center" vertical="center" shrinkToFit="1"/>
    </xf>
    <xf numFmtId="3" fontId="0" fillId="34" borderId="10" xfId="0" applyNumberFormat="1" applyFill="1" applyBorder="1" applyAlignment="1">
      <alignment vertical="center" shrinkToFit="1"/>
    </xf>
    <xf numFmtId="38" fontId="0" fillId="33" borderId="10" xfId="42" applyFont="1" applyFill="1" applyBorder="1" applyAlignment="1" applyProtection="1">
      <alignment vertical="center" shrinkToFit="1"/>
    </xf>
    <xf numFmtId="0" fontId="0" fillId="0" borderId="10" xfId="0" applyBorder="1" applyAlignment="1">
      <alignment horizontal="center" vertical="center"/>
    </xf>
    <xf numFmtId="3" fontId="0" fillId="0" borderId="10" xfId="0" applyNumberFormat="1" applyBorder="1">
      <alignment vertical="center"/>
    </xf>
    <xf numFmtId="3" fontId="0" fillId="0" borderId="10" xfId="0" applyNumberFormat="1" applyBorder="1" applyAlignment="1">
      <alignment horizontal="center" vertical="center"/>
    </xf>
    <xf numFmtId="0" fontId="23" fillId="0" borderId="0" xfId="0" applyFont="1" applyAlignment="1">
      <alignment vertical="center" shrinkToFit="1"/>
    </xf>
    <xf numFmtId="0" fontId="23" fillId="0" borderId="0" xfId="0" applyFont="1" applyAlignment="1">
      <alignment horizontal="left" vertical="center"/>
    </xf>
    <xf numFmtId="38" fontId="0" fillId="0" borderId="10" xfId="42" applyFont="1" applyBorder="1">
      <alignment vertical="center"/>
    </xf>
    <xf numFmtId="0" fontId="20" fillId="0" borderId="19" xfId="0" applyFont="1" applyBorder="1" applyAlignment="1">
      <alignment horizontal="center" shrinkToFit="1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 vertical="center" shrinkToFit="1"/>
    </xf>
    <xf numFmtId="0" fontId="0" fillId="0" borderId="10" xfId="0" applyBorder="1" applyAlignment="1">
      <alignment horizontal="center" vertical="center" shrinkToFit="1"/>
    </xf>
    <xf numFmtId="38" fontId="0" fillId="0" borderId="19" xfId="42" applyFont="1" applyFill="1" applyBorder="1" applyAlignment="1" applyProtection="1">
      <alignment horizontal="right" vertical="center" shrinkToFit="1"/>
    </xf>
    <xf numFmtId="0" fontId="22" fillId="0" borderId="19" xfId="0" applyFont="1" applyBorder="1" applyAlignment="1">
      <alignment horizontal="left" vertical="center" shrinkToFit="1"/>
    </xf>
    <xf numFmtId="57" fontId="19" fillId="0" borderId="18" xfId="0" applyNumberFormat="1" applyFont="1" applyBorder="1" applyAlignment="1" applyProtection="1">
      <alignment horizontal="left" vertical="center" shrinkToFit="1"/>
      <protection locked="0"/>
    </xf>
    <xf numFmtId="38" fontId="0" fillId="0" borderId="0" xfId="42" applyFont="1" applyFill="1" applyBorder="1" applyAlignment="1" applyProtection="1">
      <alignment horizontal="right" vertical="center" shrinkToFit="1"/>
    </xf>
    <xf numFmtId="0" fontId="22" fillId="0" borderId="0" xfId="0" applyFont="1" applyAlignment="1">
      <alignment horizontal="left" vertical="center" shrinkToFit="1"/>
    </xf>
    <xf numFmtId="0" fontId="0" fillId="0" borderId="0" xfId="0" applyAlignment="1">
      <alignment horizontal="center" vertical="center" shrinkToFit="1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桁区切り" xfId="42" builtinId="6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323850</xdr:colOff>
      <xdr:row>0</xdr:row>
      <xdr:rowOff>76200</xdr:rowOff>
    </xdr:from>
    <xdr:to>
      <xdr:col>21</xdr:col>
      <xdr:colOff>66675</xdr:colOff>
      <xdr:row>21</xdr:row>
      <xdr:rowOff>236829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AECF1BF-B0F4-4156-B7CB-9F01320B5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275" y="76200"/>
          <a:ext cx="7772400" cy="51803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6B42-A302-4F72-B11E-B1CB45017ADB}">
  <sheetPr>
    <tabColor rgb="FF00B0F0"/>
  </sheetPr>
  <dimension ref="A1:N57"/>
  <sheetViews>
    <sheetView tabSelected="1" view="pageBreakPreview" zoomScaleNormal="100" zoomScaleSheetLayoutView="100" workbookViewId="0">
      <pane ySplit="2" topLeftCell="A15" activePane="bottomLeft" state="frozen"/>
      <selection pane="bottomLeft" activeCell="B30" sqref="B30"/>
    </sheetView>
  </sheetViews>
  <sheetFormatPr defaultRowHeight="18.75" x14ac:dyDescent="0.4"/>
  <cols>
    <col min="1" max="1" width="13.625" customWidth="1"/>
    <col min="2" max="2" width="12.625" customWidth="1"/>
    <col min="3" max="3" width="12.625" style="2" customWidth="1"/>
    <col min="4" max="4" width="15.75" customWidth="1"/>
    <col min="5" max="5" width="40.75" customWidth="1"/>
    <col min="6" max="6" width="15.875" customWidth="1"/>
    <col min="7" max="7" width="3" customWidth="1"/>
    <col min="8" max="8" width="2.375" customWidth="1"/>
    <col min="9" max="9" width="10.875" customWidth="1"/>
    <col min="10" max="10" width="12.125" customWidth="1"/>
    <col min="11" max="11" width="12.25" customWidth="1"/>
    <col min="12" max="12" width="11.5" customWidth="1"/>
    <col min="13" max="13" width="10.875" customWidth="1"/>
    <col min="14" max="14" width="18.375" customWidth="1"/>
    <col min="15" max="15" width="10.625" customWidth="1"/>
  </cols>
  <sheetData>
    <row r="1" spans="1:13" ht="19.5" x14ac:dyDescent="0.4">
      <c r="A1" s="43" t="s">
        <v>80</v>
      </c>
      <c r="B1" s="37" t="s">
        <v>25</v>
      </c>
      <c r="C1" s="64" t="s">
        <v>62</v>
      </c>
      <c r="D1" s="64"/>
      <c r="E1" s="45" t="s">
        <v>61</v>
      </c>
      <c r="F1" s="38"/>
      <c r="I1" s="29"/>
    </row>
    <row r="2" spans="1:13" ht="19.5" x14ac:dyDescent="0.4">
      <c r="A2" s="39" t="s">
        <v>3</v>
      </c>
      <c r="B2" s="39" t="s">
        <v>4</v>
      </c>
      <c r="C2" s="39" t="s">
        <v>5</v>
      </c>
      <c r="D2" s="39" t="s">
        <v>23</v>
      </c>
      <c r="E2" s="39" t="s">
        <v>79</v>
      </c>
      <c r="F2" s="39" t="s">
        <v>13</v>
      </c>
      <c r="I2" s="42" t="s">
        <v>2</v>
      </c>
      <c r="J2" s="40"/>
      <c r="K2" s="40"/>
      <c r="M2" s="2" t="s">
        <v>45</v>
      </c>
    </row>
    <row r="3" spans="1:13" x14ac:dyDescent="0.4">
      <c r="A3" s="9"/>
      <c r="B3" s="17"/>
      <c r="C3" s="17"/>
      <c r="D3" s="12"/>
      <c r="E3" s="24"/>
      <c r="F3" s="10"/>
      <c r="I3" s="40" t="s">
        <v>63</v>
      </c>
      <c r="J3" s="58" t="s">
        <v>78</v>
      </c>
      <c r="K3" s="58" t="s">
        <v>78</v>
      </c>
    </row>
    <row r="4" spans="1:13" x14ac:dyDescent="0.4">
      <c r="A4" s="9"/>
      <c r="B4" s="17"/>
      <c r="C4" s="8"/>
      <c r="D4" s="13"/>
      <c r="E4" s="25"/>
      <c r="F4" s="8"/>
      <c r="I4" s="30" t="s">
        <v>3</v>
      </c>
      <c r="J4" s="30" t="s">
        <v>4</v>
      </c>
      <c r="K4" s="30" t="s">
        <v>5</v>
      </c>
    </row>
    <row r="5" spans="1:13" x14ac:dyDescent="0.4">
      <c r="A5" s="9"/>
      <c r="B5" s="17"/>
      <c r="C5" s="11"/>
      <c r="D5" s="13"/>
      <c r="E5" s="25"/>
      <c r="F5" s="8"/>
      <c r="I5" s="28" t="s">
        <v>14</v>
      </c>
      <c r="J5" s="18" t="s">
        <v>28</v>
      </c>
      <c r="K5" s="3" t="s">
        <v>7</v>
      </c>
    </row>
    <row r="6" spans="1:13" x14ac:dyDescent="0.4">
      <c r="A6" s="9"/>
      <c r="B6" s="17"/>
      <c r="C6" s="17"/>
      <c r="D6" s="13"/>
      <c r="E6" s="25"/>
      <c r="F6" s="8"/>
      <c r="I6" s="28" t="s">
        <v>15</v>
      </c>
      <c r="J6" s="18" t="s">
        <v>22</v>
      </c>
      <c r="K6" s="3" t="s">
        <v>8</v>
      </c>
    </row>
    <row r="7" spans="1:13" x14ac:dyDescent="0.4">
      <c r="A7" s="9"/>
      <c r="B7" s="17"/>
      <c r="C7" s="11"/>
      <c r="D7" s="13"/>
      <c r="E7" s="25"/>
      <c r="F7" s="8"/>
      <c r="I7" s="28" t="s">
        <v>16</v>
      </c>
      <c r="J7" s="18" t="s">
        <v>32</v>
      </c>
      <c r="K7" s="3" t="s">
        <v>9</v>
      </c>
    </row>
    <row r="8" spans="1:13" x14ac:dyDescent="0.4">
      <c r="A8" s="9"/>
      <c r="B8" s="17"/>
      <c r="C8" s="8"/>
      <c r="D8" s="13"/>
      <c r="E8" s="25"/>
      <c r="F8" s="8"/>
      <c r="I8" s="28" t="s">
        <v>17</v>
      </c>
      <c r="J8" s="18" t="s">
        <v>20</v>
      </c>
      <c r="K8" s="3" t="s">
        <v>43</v>
      </c>
    </row>
    <row r="9" spans="1:13" x14ac:dyDescent="0.4">
      <c r="A9" s="9"/>
      <c r="B9" s="17"/>
      <c r="C9" s="11"/>
      <c r="D9" s="13"/>
      <c r="E9" s="25"/>
      <c r="F9" s="8"/>
      <c r="I9" s="28" t="s">
        <v>18</v>
      </c>
      <c r="J9" s="18" t="s">
        <v>39</v>
      </c>
      <c r="K9" s="3"/>
    </row>
    <row r="10" spans="1:13" x14ac:dyDescent="0.4">
      <c r="A10" s="9"/>
      <c r="B10" s="16"/>
      <c r="C10" s="8"/>
      <c r="D10" s="13"/>
      <c r="E10" s="25"/>
      <c r="F10" s="8"/>
      <c r="I10" s="19"/>
      <c r="J10" s="18" t="s">
        <v>31</v>
      </c>
      <c r="K10" s="22"/>
    </row>
    <row r="11" spans="1:13" x14ac:dyDescent="0.4">
      <c r="A11" s="9"/>
      <c r="B11" s="16"/>
      <c r="C11" s="8"/>
      <c r="D11" s="13"/>
      <c r="E11" s="25"/>
      <c r="F11" s="8"/>
      <c r="I11" s="19"/>
      <c r="J11" s="18" t="s">
        <v>19</v>
      </c>
      <c r="K11" s="21" t="s">
        <v>7</v>
      </c>
    </row>
    <row r="12" spans="1:13" x14ac:dyDescent="0.4">
      <c r="A12" s="9"/>
      <c r="B12" s="16"/>
      <c r="C12" s="8"/>
      <c r="D12" s="13"/>
      <c r="E12" s="25"/>
      <c r="F12" s="8"/>
      <c r="I12" s="19"/>
      <c r="J12" s="18" t="s">
        <v>29</v>
      </c>
      <c r="K12" s="22" t="s">
        <v>8</v>
      </c>
    </row>
    <row r="13" spans="1:13" x14ac:dyDescent="0.4">
      <c r="A13" s="9"/>
      <c r="B13" s="16"/>
      <c r="C13" s="8"/>
      <c r="D13" s="13"/>
      <c r="E13" s="25"/>
      <c r="F13" s="8"/>
      <c r="I13" s="20"/>
      <c r="J13" s="18" t="s">
        <v>21</v>
      </c>
      <c r="K13" s="22" t="s">
        <v>9</v>
      </c>
    </row>
    <row r="14" spans="1:13" x14ac:dyDescent="0.4">
      <c r="A14" s="9"/>
      <c r="B14" s="16"/>
      <c r="C14" s="8"/>
      <c r="D14" s="13"/>
      <c r="E14" s="25"/>
      <c r="F14" s="8"/>
      <c r="I14" s="20"/>
      <c r="J14" s="18" t="s">
        <v>30</v>
      </c>
      <c r="K14" s="22" t="s">
        <v>43</v>
      </c>
    </row>
    <row r="15" spans="1:13" x14ac:dyDescent="0.4">
      <c r="A15" s="9"/>
      <c r="B15" s="16"/>
      <c r="C15" s="8"/>
      <c r="D15" s="13"/>
      <c r="E15" s="25"/>
      <c r="F15" s="8"/>
      <c r="I15" s="20"/>
      <c r="J15" s="18" t="s">
        <v>34</v>
      </c>
      <c r="K15" s="22"/>
    </row>
    <row r="16" spans="1:13" x14ac:dyDescent="0.4">
      <c r="A16" s="9"/>
      <c r="B16" s="16"/>
      <c r="C16" s="8"/>
      <c r="D16" s="13"/>
      <c r="E16" s="25"/>
      <c r="F16" s="8"/>
      <c r="I16" s="20"/>
      <c r="J16" s="18" t="s">
        <v>33</v>
      </c>
      <c r="K16" s="1"/>
    </row>
    <row r="17" spans="1:11" x14ac:dyDescent="0.4">
      <c r="A17" s="9"/>
      <c r="B17" s="16"/>
      <c r="C17" s="8"/>
      <c r="D17" s="13"/>
      <c r="E17" s="25"/>
      <c r="F17" s="8"/>
      <c r="I17" s="20"/>
      <c r="J17" s="18" t="s">
        <v>41</v>
      </c>
      <c r="K17" s="21" t="s">
        <v>7</v>
      </c>
    </row>
    <row r="18" spans="1:11" x14ac:dyDescent="0.4">
      <c r="A18" s="9"/>
      <c r="B18" s="17"/>
      <c r="C18" s="11"/>
      <c r="D18" s="13"/>
      <c r="E18" s="25"/>
      <c r="F18" s="8"/>
      <c r="I18" s="20"/>
      <c r="J18" s="18" t="s">
        <v>42</v>
      </c>
      <c r="K18" s="22" t="s">
        <v>8</v>
      </c>
    </row>
    <row r="19" spans="1:11" x14ac:dyDescent="0.4">
      <c r="A19" s="9"/>
      <c r="B19" s="16"/>
      <c r="C19" s="8"/>
      <c r="D19" s="13"/>
      <c r="E19" s="25"/>
      <c r="F19" s="8"/>
      <c r="I19" s="20"/>
      <c r="J19" s="18"/>
      <c r="K19" s="22" t="s">
        <v>9</v>
      </c>
    </row>
    <row r="20" spans="1:11" x14ac:dyDescent="0.4">
      <c r="A20" s="9"/>
      <c r="B20" s="17"/>
      <c r="C20" s="17"/>
      <c r="D20" s="13"/>
      <c r="E20" s="25"/>
      <c r="F20" s="8"/>
      <c r="I20" s="20"/>
      <c r="J20" s="18" t="s">
        <v>35</v>
      </c>
      <c r="K20" s="22" t="s">
        <v>43</v>
      </c>
    </row>
    <row r="21" spans="1:11" x14ac:dyDescent="0.4">
      <c r="A21" s="9"/>
      <c r="B21" s="17"/>
      <c r="C21" s="11"/>
      <c r="D21" s="13"/>
      <c r="E21" s="25"/>
      <c r="F21" s="8"/>
      <c r="I21" s="20"/>
      <c r="J21" s="18" t="s">
        <v>36</v>
      </c>
      <c r="K21" s="22"/>
    </row>
    <row r="22" spans="1:11" x14ac:dyDescent="0.4">
      <c r="A22" s="9"/>
      <c r="B22" s="17"/>
      <c r="C22" s="11"/>
      <c r="D22" s="13"/>
      <c r="E22" s="25"/>
      <c r="F22" s="8"/>
      <c r="I22" s="20"/>
      <c r="J22" s="18" t="s">
        <v>37</v>
      </c>
      <c r="K22" s="1"/>
    </row>
    <row r="23" spans="1:11" x14ac:dyDescent="0.4">
      <c r="A23" s="9"/>
      <c r="B23" s="17"/>
      <c r="C23" s="17"/>
      <c r="D23" s="13"/>
      <c r="E23" s="25"/>
      <c r="F23" s="8"/>
      <c r="I23" s="20"/>
      <c r="J23" s="18" t="s">
        <v>38</v>
      </c>
      <c r="K23" s="21" t="s">
        <v>7</v>
      </c>
    </row>
    <row r="24" spans="1:11" x14ac:dyDescent="0.4">
      <c r="A24" s="9"/>
      <c r="B24" s="17"/>
      <c r="C24" s="11"/>
      <c r="D24" s="13"/>
      <c r="E24" s="25"/>
      <c r="F24" s="8"/>
      <c r="I24" s="20"/>
      <c r="J24" s="18" t="s">
        <v>40</v>
      </c>
      <c r="K24" s="22" t="s">
        <v>8</v>
      </c>
    </row>
    <row r="25" spans="1:11" x14ac:dyDescent="0.4">
      <c r="A25" s="9"/>
      <c r="B25" s="17"/>
      <c r="C25" s="11"/>
      <c r="D25" s="13"/>
      <c r="E25" s="25"/>
      <c r="F25" s="8"/>
      <c r="I25" s="20"/>
      <c r="J25" s="18" t="s">
        <v>44</v>
      </c>
      <c r="K25" s="22" t="s">
        <v>9</v>
      </c>
    </row>
    <row r="26" spans="1:11" x14ac:dyDescent="0.4">
      <c r="A26" s="9"/>
      <c r="B26" s="11"/>
      <c r="C26" s="11"/>
      <c r="D26" s="13"/>
      <c r="E26" s="25"/>
      <c r="F26" s="8"/>
      <c r="I26" s="20"/>
      <c r="J26" s="18" t="s">
        <v>26</v>
      </c>
      <c r="K26" s="22" t="s">
        <v>43</v>
      </c>
    </row>
    <row r="27" spans="1:11" x14ac:dyDescent="0.4">
      <c r="A27" s="9"/>
      <c r="B27" s="11"/>
      <c r="C27" s="17"/>
      <c r="D27" s="13"/>
      <c r="E27" s="25"/>
      <c r="F27" s="8"/>
      <c r="I27" s="20"/>
      <c r="J27" s="18" t="s">
        <v>27</v>
      </c>
      <c r="K27" s="22"/>
    </row>
    <row r="28" spans="1:11" x14ac:dyDescent="0.4">
      <c r="A28" s="9"/>
      <c r="B28" s="17"/>
      <c r="C28" s="11"/>
      <c r="D28" s="13"/>
      <c r="E28" s="25"/>
      <c r="F28" s="8"/>
      <c r="I28" s="20"/>
      <c r="J28" s="18"/>
      <c r="K28" s="23"/>
    </row>
    <row r="29" spans="1:11" x14ac:dyDescent="0.4">
      <c r="A29" s="9"/>
      <c r="B29" s="11"/>
      <c r="C29" s="11"/>
      <c r="D29" s="13"/>
      <c r="E29" s="25"/>
      <c r="F29" s="8"/>
      <c r="I29" s="20"/>
      <c r="J29" s="18"/>
      <c r="K29" s="23"/>
    </row>
    <row r="30" spans="1:11" x14ac:dyDescent="0.4">
      <c r="A30" s="9"/>
      <c r="B30" s="17"/>
      <c r="C30" s="11"/>
      <c r="D30" s="13"/>
      <c r="E30" s="25"/>
      <c r="F30" s="8"/>
    </row>
    <row r="31" spans="1:11" x14ac:dyDescent="0.4">
      <c r="A31" s="9"/>
      <c r="B31" s="17"/>
      <c r="C31" s="11"/>
      <c r="D31" s="13"/>
      <c r="E31" s="25"/>
      <c r="F31" s="8"/>
      <c r="I31" s="29"/>
    </row>
    <row r="32" spans="1:11" ht="19.5" x14ac:dyDescent="0.4">
      <c r="A32" s="9"/>
      <c r="B32" s="17"/>
      <c r="C32" s="26"/>
      <c r="D32" s="13"/>
      <c r="E32" s="25"/>
      <c r="F32" s="8"/>
      <c r="I32" s="42" t="s">
        <v>69</v>
      </c>
    </row>
    <row r="33" spans="1:14" x14ac:dyDescent="0.4">
      <c r="A33" s="9"/>
      <c r="B33" s="17"/>
      <c r="C33" s="27"/>
      <c r="D33" s="13"/>
      <c r="E33" s="25"/>
      <c r="F33" s="8"/>
      <c r="I33" s="31" t="s">
        <v>64</v>
      </c>
    </row>
    <row r="34" spans="1:14" x14ac:dyDescent="0.4">
      <c r="A34" s="9"/>
      <c r="B34" s="16"/>
      <c r="C34" s="44"/>
      <c r="D34" s="13"/>
      <c r="E34" s="25"/>
      <c r="F34" s="8"/>
      <c r="I34" t="s">
        <v>71</v>
      </c>
    </row>
    <row r="35" spans="1:14" x14ac:dyDescent="0.4">
      <c r="A35" s="9"/>
      <c r="B35" s="17"/>
      <c r="C35" s="11"/>
      <c r="D35" s="13"/>
      <c r="E35" s="25"/>
      <c r="F35" s="8"/>
      <c r="I35" s="31" t="s">
        <v>65</v>
      </c>
    </row>
    <row r="36" spans="1:14" x14ac:dyDescent="0.4">
      <c r="A36" s="9"/>
      <c r="B36" s="11"/>
      <c r="C36" s="11"/>
      <c r="D36" s="13"/>
      <c r="E36" s="25"/>
      <c r="F36" s="8"/>
      <c r="I36" s="31" t="s">
        <v>66</v>
      </c>
    </row>
    <row r="37" spans="1:14" x14ac:dyDescent="0.4">
      <c r="A37" s="9"/>
      <c r="B37" s="11"/>
      <c r="C37" s="11"/>
      <c r="D37" s="13"/>
      <c r="E37" s="25"/>
      <c r="F37" s="8"/>
      <c r="I37" s="31" t="s">
        <v>70</v>
      </c>
    </row>
    <row r="38" spans="1:14" x14ac:dyDescent="0.4">
      <c r="A38" s="9"/>
      <c r="B38" s="11"/>
      <c r="C38" s="17"/>
      <c r="D38" s="13"/>
      <c r="E38" s="25"/>
      <c r="F38" s="8"/>
      <c r="I38" s="56" t="s">
        <v>72</v>
      </c>
      <c r="J38" s="55"/>
      <c r="K38" s="14"/>
      <c r="L38" s="65"/>
      <c r="M38" s="65"/>
      <c r="N38" s="41"/>
    </row>
    <row r="39" spans="1:14" ht="19.5" x14ac:dyDescent="0.4">
      <c r="A39" s="9"/>
      <c r="B39" s="11"/>
      <c r="C39" s="17"/>
      <c r="D39" s="13"/>
      <c r="E39" s="25"/>
      <c r="F39" s="8"/>
      <c r="I39" s="66"/>
      <c r="J39" s="66"/>
      <c r="K39" s="14"/>
      <c r="L39" s="65"/>
      <c r="M39" s="65"/>
      <c r="N39" s="41"/>
    </row>
    <row r="40" spans="1:14" x14ac:dyDescent="0.4">
      <c r="A40" s="9"/>
      <c r="B40" s="17"/>
      <c r="C40" s="11"/>
      <c r="D40" s="13"/>
      <c r="E40" s="25"/>
      <c r="F40" s="8"/>
      <c r="I40" s="14"/>
      <c r="J40" s="14"/>
      <c r="K40" s="67"/>
      <c r="L40" s="67"/>
      <c r="M40" s="14"/>
      <c r="N40" s="14"/>
    </row>
    <row r="41" spans="1:14" ht="19.5" x14ac:dyDescent="0.4">
      <c r="A41" s="9"/>
      <c r="B41" s="11"/>
      <c r="C41" s="17"/>
      <c r="D41" s="13"/>
      <c r="E41" s="25"/>
      <c r="F41" s="8"/>
      <c r="I41" s="63" t="s">
        <v>46</v>
      </c>
      <c r="J41" s="63"/>
      <c r="K41" s="32"/>
      <c r="L41" s="62"/>
      <c r="M41" s="62"/>
      <c r="N41" s="33"/>
    </row>
    <row r="42" spans="1:14" x14ac:dyDescent="0.4">
      <c r="A42" s="9"/>
      <c r="B42" s="17"/>
      <c r="C42" s="11"/>
      <c r="D42" s="13"/>
      <c r="E42" s="25"/>
      <c r="F42" s="8"/>
      <c r="I42" s="4" t="s">
        <v>12</v>
      </c>
      <c r="J42" s="4" t="s">
        <v>47</v>
      </c>
      <c r="K42" s="4" t="s">
        <v>48</v>
      </c>
      <c r="L42" s="4" t="s">
        <v>23</v>
      </c>
      <c r="M42" s="61" t="s">
        <v>77</v>
      </c>
      <c r="N42" s="61"/>
    </row>
    <row r="43" spans="1:14" x14ac:dyDescent="0.4">
      <c r="A43" s="9"/>
      <c r="B43" s="11"/>
      <c r="C43" s="11"/>
      <c r="D43" s="13"/>
      <c r="E43" s="25"/>
      <c r="F43" s="8"/>
      <c r="I43" s="36">
        <v>46236</v>
      </c>
      <c r="J43" s="4" t="s">
        <v>49</v>
      </c>
      <c r="K43" s="4" t="s">
        <v>51</v>
      </c>
      <c r="L43" s="34">
        <v>10000</v>
      </c>
      <c r="M43" s="60" t="s">
        <v>50</v>
      </c>
      <c r="N43" s="60"/>
    </row>
    <row r="44" spans="1:14" x14ac:dyDescent="0.4">
      <c r="A44" s="9"/>
      <c r="B44" s="11"/>
      <c r="C44" s="11"/>
      <c r="D44" s="13"/>
      <c r="E44" s="25"/>
      <c r="F44" s="8"/>
      <c r="I44" s="36">
        <v>46236</v>
      </c>
      <c r="J44" s="4" t="s">
        <v>49</v>
      </c>
      <c r="K44" s="4" t="s">
        <v>73</v>
      </c>
      <c r="L44" s="34">
        <v>850</v>
      </c>
      <c r="M44" s="60" t="s">
        <v>67</v>
      </c>
      <c r="N44" s="60"/>
    </row>
    <row r="45" spans="1:14" x14ac:dyDescent="0.4">
      <c r="A45" s="9"/>
      <c r="B45" s="11"/>
      <c r="C45" s="11"/>
      <c r="D45" s="13"/>
      <c r="E45" s="25"/>
      <c r="F45" s="8"/>
      <c r="I45" s="36">
        <v>46236</v>
      </c>
      <c r="J45" s="4" t="s">
        <v>49</v>
      </c>
      <c r="K45" s="4" t="s">
        <v>53</v>
      </c>
      <c r="L45" s="34">
        <v>216</v>
      </c>
      <c r="M45" s="60" t="s">
        <v>52</v>
      </c>
      <c r="N45" s="60"/>
    </row>
    <row r="46" spans="1:14" x14ac:dyDescent="0.4">
      <c r="A46" s="9"/>
      <c r="B46" s="17"/>
      <c r="C46" s="11"/>
      <c r="D46" s="13"/>
      <c r="E46" s="25"/>
      <c r="F46" s="8"/>
      <c r="I46" s="36">
        <v>46239</v>
      </c>
      <c r="J46" s="4" t="s">
        <v>39</v>
      </c>
      <c r="K46" s="4" t="s">
        <v>51</v>
      </c>
      <c r="L46" s="34">
        <v>2282</v>
      </c>
      <c r="M46" s="60" t="s">
        <v>54</v>
      </c>
      <c r="N46" s="60"/>
    </row>
    <row r="47" spans="1:14" x14ac:dyDescent="0.4">
      <c r="A47" s="9"/>
      <c r="B47" s="17"/>
      <c r="C47" s="11"/>
      <c r="D47" s="13"/>
      <c r="E47" s="25"/>
      <c r="F47" s="8"/>
      <c r="I47" s="36">
        <v>46239</v>
      </c>
      <c r="J47" s="4" t="s">
        <v>39</v>
      </c>
      <c r="K47" s="4" t="s">
        <v>73</v>
      </c>
      <c r="L47" s="34">
        <v>6250</v>
      </c>
      <c r="M47" s="60" t="s">
        <v>76</v>
      </c>
      <c r="N47" s="60"/>
    </row>
    <row r="48" spans="1:14" x14ac:dyDescent="0.4">
      <c r="A48" s="9"/>
      <c r="B48" s="11"/>
      <c r="C48" s="11"/>
      <c r="D48" s="13"/>
      <c r="E48" s="25"/>
      <c r="F48" s="8"/>
      <c r="I48" s="36">
        <v>46242</v>
      </c>
      <c r="J48" s="4" t="s">
        <v>49</v>
      </c>
      <c r="K48" s="4" t="s">
        <v>56</v>
      </c>
      <c r="L48" s="35">
        <v>3300</v>
      </c>
      <c r="M48" s="60" t="s">
        <v>55</v>
      </c>
      <c r="N48" s="60"/>
    </row>
    <row r="49" spans="1:14" x14ac:dyDescent="0.4">
      <c r="A49" s="9"/>
      <c r="B49" s="11"/>
      <c r="C49" s="11"/>
      <c r="D49" s="13"/>
      <c r="E49" s="25"/>
      <c r="F49" s="8"/>
      <c r="I49" s="36">
        <v>46243</v>
      </c>
      <c r="J49" s="4" t="s">
        <v>27</v>
      </c>
      <c r="K49" s="4" t="s">
        <v>56</v>
      </c>
      <c r="L49" s="35">
        <v>19800</v>
      </c>
      <c r="M49" s="60" t="s">
        <v>75</v>
      </c>
      <c r="N49" s="60"/>
    </row>
    <row r="50" spans="1:14" x14ac:dyDescent="0.4">
      <c r="A50" s="9"/>
      <c r="B50" s="11"/>
      <c r="C50" s="11"/>
      <c r="D50" s="13"/>
      <c r="E50" s="25"/>
      <c r="F50" s="8"/>
      <c r="I50" s="36">
        <v>46243</v>
      </c>
      <c r="J50" s="4" t="s">
        <v>49</v>
      </c>
      <c r="K50" s="3" t="s">
        <v>53</v>
      </c>
      <c r="L50" s="35">
        <v>108</v>
      </c>
      <c r="M50" s="60" t="s">
        <v>57</v>
      </c>
      <c r="N50" s="60"/>
    </row>
    <row r="51" spans="1:14" x14ac:dyDescent="0.4">
      <c r="A51" s="9"/>
      <c r="B51" s="11"/>
      <c r="C51" s="11"/>
      <c r="D51" s="13"/>
      <c r="E51" s="25"/>
      <c r="F51" s="8"/>
      <c r="I51" s="36">
        <v>46251</v>
      </c>
      <c r="J51" s="4" t="s">
        <v>31</v>
      </c>
      <c r="K51" s="4" t="s">
        <v>73</v>
      </c>
      <c r="L51" s="35">
        <v>400</v>
      </c>
      <c r="M51" s="60" t="s">
        <v>58</v>
      </c>
      <c r="N51" s="60"/>
    </row>
    <row r="52" spans="1:14" x14ac:dyDescent="0.4">
      <c r="A52" s="9"/>
      <c r="B52" s="11"/>
      <c r="C52" s="11"/>
      <c r="D52" s="13"/>
      <c r="E52" s="25"/>
      <c r="F52" s="8"/>
      <c r="I52" s="36">
        <v>46260</v>
      </c>
      <c r="J52" s="4" t="s">
        <v>59</v>
      </c>
      <c r="K52" s="4" t="s">
        <v>56</v>
      </c>
      <c r="L52" s="35">
        <v>3300</v>
      </c>
      <c r="M52" s="60" t="s">
        <v>60</v>
      </c>
      <c r="N52" s="60"/>
    </row>
    <row r="53" spans="1:14" x14ac:dyDescent="0.4">
      <c r="A53" s="9"/>
      <c r="B53" s="11"/>
      <c r="C53" s="11"/>
      <c r="D53" s="13"/>
      <c r="E53" s="25"/>
      <c r="F53" s="8"/>
      <c r="I53" s="36">
        <v>46264</v>
      </c>
      <c r="J53" s="52" t="s">
        <v>40</v>
      </c>
      <c r="K53" s="4" t="s">
        <v>73</v>
      </c>
      <c r="L53" s="57">
        <v>7000</v>
      </c>
      <c r="M53" s="59" t="s">
        <v>74</v>
      </c>
      <c r="N53" s="59"/>
    </row>
    <row r="54" spans="1:14" x14ac:dyDescent="0.4">
      <c r="A54" s="9"/>
      <c r="B54" s="11"/>
      <c r="C54" s="11"/>
      <c r="D54" s="13"/>
      <c r="E54" s="25"/>
      <c r="F54" s="8"/>
    </row>
    <row r="55" spans="1:14" x14ac:dyDescent="0.4">
      <c r="A55" s="7"/>
      <c r="B55" s="11"/>
      <c r="C55" s="11"/>
      <c r="D55" s="13"/>
      <c r="E55" s="25"/>
      <c r="F55" s="8"/>
    </row>
    <row r="56" spans="1:14" x14ac:dyDescent="0.4">
      <c r="A56" s="7"/>
      <c r="B56" s="11"/>
      <c r="C56" s="11"/>
      <c r="D56" s="13"/>
      <c r="E56" s="25"/>
      <c r="F56" s="8"/>
    </row>
    <row r="57" spans="1:14" x14ac:dyDescent="0.4">
      <c r="A57" s="6" t="s">
        <v>10</v>
      </c>
      <c r="B57" s="5"/>
      <c r="C57" s="6"/>
      <c r="D57" s="15">
        <f>SUM(D3:D56)</f>
        <v>0</v>
      </c>
      <c r="E57" s="5"/>
      <c r="F57" s="5"/>
    </row>
  </sheetData>
  <sheetProtection algorithmName="SHA-512" hashValue="Pu2tWyXdUJbTw+t9MnEOkFXuiFQQZuB1vXbamT+6i/FQM1VjXec8NJ28YgxYeGgn0na8LOY+YZN376UyGyAQpQ==" saltValue="RAzB1uvQPjsKpQ553HGlkQ==" spinCount="100000" sheet="1" formatCells="0" autoFilter="0" pivotTables="0"/>
  <mergeCells count="19">
    <mergeCell ref="M43:N43"/>
    <mergeCell ref="M42:N42"/>
    <mergeCell ref="L41:M41"/>
    <mergeCell ref="I41:J41"/>
    <mergeCell ref="C1:D1"/>
    <mergeCell ref="L39:M39"/>
    <mergeCell ref="I39:J39"/>
    <mergeCell ref="L38:M38"/>
    <mergeCell ref="K40:L40"/>
    <mergeCell ref="M48:N48"/>
    <mergeCell ref="M47:N47"/>
    <mergeCell ref="M46:N46"/>
    <mergeCell ref="M45:N45"/>
    <mergeCell ref="M44:N44"/>
    <mergeCell ref="M53:N53"/>
    <mergeCell ref="M52:N52"/>
    <mergeCell ref="M51:N51"/>
    <mergeCell ref="M50:N50"/>
    <mergeCell ref="M49:N49"/>
  </mergeCells>
  <phoneticPr fontId="18"/>
  <dataValidations count="2">
    <dataValidation type="list" allowBlank="1" showInputMessage="1" showErrorMessage="1" sqref="C3:C56" xr:uid="{21DE3DE2-5DEB-4D66-9D5C-53B889FE8D58}">
      <formula1>$K$5:$K$8</formula1>
    </dataValidation>
    <dataValidation type="list" allowBlank="1" showInputMessage="1" sqref="B3:B56" xr:uid="{4C2E0F05-F20B-4092-B935-FFBAD97F56A2}">
      <formula1>$J$5:$J$27</formula1>
    </dataValidation>
  </dataValidations>
  <printOptions horizontalCentered="1"/>
  <pageMargins left="0.27559055118110237" right="0.27559055118110237" top="0.35433070866141736" bottom="0.35433070866141736" header="0.11811023622047245" footer="0.31496062992125984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7"/>
  <sheetViews>
    <sheetView view="pageBreakPreview" topLeftCell="A12" zoomScaleNormal="100" zoomScaleSheetLayoutView="100" workbookViewId="0">
      <selection activeCell="Q44" sqref="Q44"/>
    </sheetView>
  </sheetViews>
  <sheetFormatPr defaultRowHeight="18.75" x14ac:dyDescent="0.4"/>
  <cols>
    <col min="4" max="4" width="11.375" style="2" bestFit="1" customWidth="1"/>
    <col min="5" max="5" width="9" style="2"/>
    <col min="8" max="8" width="11.125" style="2" customWidth="1"/>
    <col min="11" max="11" width="11" style="2" customWidth="1"/>
    <col min="14" max="14" width="9" style="2"/>
    <col min="17" max="17" width="30.125" customWidth="1"/>
    <col min="20" max="25" width="9" style="2"/>
  </cols>
  <sheetData>
    <row r="1" spans="1:25" x14ac:dyDescent="0.4">
      <c r="A1" s="46" t="str">
        <f>クレジット!A1</f>
        <v>㈱</v>
      </c>
      <c r="B1" s="46" t="str">
        <f>クレジット!B1</f>
        <v>【クレジット】</v>
      </c>
      <c r="C1" s="47" t="str">
        <f>クレジット!C1</f>
        <v>　トヨタF</v>
      </c>
      <c r="D1" s="31" t="str">
        <f>クレジット!E1</f>
        <v>　R8.09.11 引落し分</v>
      </c>
      <c r="E1" s="14"/>
      <c r="F1" s="48"/>
    </row>
    <row r="2" spans="1:25" s="2" customFormat="1" x14ac:dyDescent="0.4">
      <c r="A2" s="4"/>
      <c r="B2" s="4"/>
      <c r="C2" s="4"/>
      <c r="D2" s="4" t="s">
        <v>12</v>
      </c>
      <c r="E2" s="4" t="s">
        <v>4</v>
      </c>
      <c r="F2" s="4"/>
      <c r="G2" s="4"/>
      <c r="H2" s="4" t="s">
        <v>5</v>
      </c>
      <c r="I2" s="4" t="s">
        <v>6</v>
      </c>
      <c r="J2" s="4"/>
      <c r="K2" s="4" t="s">
        <v>4</v>
      </c>
      <c r="L2" s="4"/>
      <c r="M2" s="4"/>
      <c r="N2" s="4" t="s">
        <v>5</v>
      </c>
      <c r="O2" s="4" t="s">
        <v>6</v>
      </c>
      <c r="P2" s="4"/>
      <c r="Q2" s="4" t="s">
        <v>11</v>
      </c>
      <c r="R2" s="4"/>
      <c r="S2" s="4"/>
      <c r="T2" s="4"/>
      <c r="U2" s="4"/>
      <c r="V2" s="4"/>
      <c r="W2" s="4"/>
      <c r="X2" s="4"/>
      <c r="Y2" s="4"/>
    </row>
    <row r="3" spans="1:25" x14ac:dyDescent="0.4">
      <c r="A3" s="3">
        <v>2000</v>
      </c>
      <c r="B3" s="3"/>
      <c r="C3" s="3"/>
      <c r="D3" s="49">
        <f>クレジット!A3</f>
        <v>0</v>
      </c>
      <c r="E3" s="6">
        <f>クレジット!B3</f>
        <v>0</v>
      </c>
      <c r="F3" s="3"/>
      <c r="G3" s="3"/>
      <c r="H3" s="6">
        <f>クレジット!C3</f>
        <v>0</v>
      </c>
      <c r="I3" s="50">
        <f>クレジット!D3</f>
        <v>0</v>
      </c>
      <c r="J3" s="3"/>
      <c r="K3" s="4" t="s">
        <v>68</v>
      </c>
      <c r="L3" s="3"/>
      <c r="M3" s="3"/>
      <c r="N3" s="4" t="s">
        <v>0</v>
      </c>
      <c r="O3" s="51">
        <f>I3</f>
        <v>0</v>
      </c>
      <c r="P3" s="3"/>
      <c r="Q3" s="5">
        <f>クレジット!E3</f>
        <v>0</v>
      </c>
      <c r="R3" s="3"/>
      <c r="S3" s="3"/>
      <c r="T3" s="4">
        <v>0</v>
      </c>
      <c r="U3" s="4"/>
      <c r="V3" s="4"/>
      <c r="W3" s="4"/>
      <c r="X3" s="4"/>
      <c r="Y3" s="4" t="s">
        <v>1</v>
      </c>
    </row>
    <row r="4" spans="1:25" x14ac:dyDescent="0.4">
      <c r="A4" s="3">
        <v>2000</v>
      </c>
      <c r="B4" s="3"/>
      <c r="C4" s="3"/>
      <c r="D4" s="49">
        <f>クレジット!A4</f>
        <v>0</v>
      </c>
      <c r="E4" s="6">
        <f>クレジット!B4</f>
        <v>0</v>
      </c>
      <c r="F4" s="3"/>
      <c r="G4" s="3"/>
      <c r="H4" s="6">
        <f>クレジット!C4</f>
        <v>0</v>
      </c>
      <c r="I4" s="50">
        <f>クレジット!D4</f>
        <v>0</v>
      </c>
      <c r="J4" s="3"/>
      <c r="K4" s="4" t="s">
        <v>68</v>
      </c>
      <c r="L4" s="3"/>
      <c r="M4" s="3"/>
      <c r="N4" s="4" t="s">
        <v>0</v>
      </c>
      <c r="O4" s="51">
        <f t="shared" ref="O4:O56" si="0">I4</f>
        <v>0</v>
      </c>
      <c r="P4" s="3"/>
      <c r="Q4" s="5">
        <f>クレジット!E4</f>
        <v>0</v>
      </c>
      <c r="R4" s="3"/>
      <c r="S4" s="3"/>
      <c r="T4" s="4">
        <v>0</v>
      </c>
      <c r="U4" s="4"/>
      <c r="V4" s="4"/>
      <c r="W4" s="4"/>
      <c r="X4" s="4"/>
      <c r="Y4" s="4" t="s">
        <v>1</v>
      </c>
    </row>
    <row r="5" spans="1:25" x14ac:dyDescent="0.4">
      <c r="A5" s="3">
        <v>2000</v>
      </c>
      <c r="B5" s="3"/>
      <c r="C5" s="3"/>
      <c r="D5" s="49">
        <f>クレジット!A5</f>
        <v>0</v>
      </c>
      <c r="E5" s="6">
        <f>クレジット!B5</f>
        <v>0</v>
      </c>
      <c r="F5" s="3"/>
      <c r="G5" s="3"/>
      <c r="H5" s="6">
        <f>クレジット!C5</f>
        <v>0</v>
      </c>
      <c r="I5" s="50">
        <f>クレジット!D5</f>
        <v>0</v>
      </c>
      <c r="J5" s="3"/>
      <c r="K5" s="4" t="s">
        <v>68</v>
      </c>
      <c r="L5" s="3"/>
      <c r="M5" s="3"/>
      <c r="N5" s="4" t="s">
        <v>0</v>
      </c>
      <c r="O5" s="51">
        <f t="shared" si="0"/>
        <v>0</v>
      </c>
      <c r="P5" s="3"/>
      <c r="Q5" s="5">
        <f>クレジット!E5</f>
        <v>0</v>
      </c>
      <c r="R5" s="3"/>
      <c r="S5" s="3"/>
      <c r="T5" s="4">
        <v>0</v>
      </c>
      <c r="U5" s="4"/>
      <c r="V5" s="4"/>
      <c r="W5" s="4"/>
      <c r="X5" s="4"/>
      <c r="Y5" s="4" t="s">
        <v>1</v>
      </c>
    </row>
    <row r="6" spans="1:25" x14ac:dyDescent="0.4">
      <c r="A6" s="3">
        <v>2000</v>
      </c>
      <c r="B6" s="3"/>
      <c r="C6" s="3"/>
      <c r="D6" s="49">
        <f>クレジット!A6</f>
        <v>0</v>
      </c>
      <c r="E6" s="6">
        <f>クレジット!B6</f>
        <v>0</v>
      </c>
      <c r="F6" s="3"/>
      <c r="G6" s="3"/>
      <c r="H6" s="6">
        <f>クレジット!C6</f>
        <v>0</v>
      </c>
      <c r="I6" s="50">
        <f>クレジット!D6</f>
        <v>0</v>
      </c>
      <c r="J6" s="3"/>
      <c r="K6" s="4" t="s">
        <v>68</v>
      </c>
      <c r="L6" s="3"/>
      <c r="M6" s="3"/>
      <c r="N6" s="4" t="s">
        <v>0</v>
      </c>
      <c r="O6" s="51">
        <f t="shared" si="0"/>
        <v>0</v>
      </c>
      <c r="P6" s="3"/>
      <c r="Q6" s="5">
        <f>クレジット!E6</f>
        <v>0</v>
      </c>
      <c r="R6" s="3"/>
      <c r="S6" s="3"/>
      <c r="T6" s="4">
        <v>0</v>
      </c>
      <c r="U6" s="4"/>
      <c r="V6" s="4"/>
      <c r="W6" s="4"/>
      <c r="X6" s="4"/>
      <c r="Y6" s="4" t="s">
        <v>1</v>
      </c>
    </row>
    <row r="7" spans="1:25" x14ac:dyDescent="0.4">
      <c r="A7" s="3">
        <v>2000</v>
      </c>
      <c r="B7" s="3"/>
      <c r="C7" s="3"/>
      <c r="D7" s="49">
        <f>クレジット!A7</f>
        <v>0</v>
      </c>
      <c r="E7" s="6">
        <f>クレジット!B7</f>
        <v>0</v>
      </c>
      <c r="F7" s="3"/>
      <c r="G7" s="3"/>
      <c r="H7" s="6">
        <f>クレジット!C7</f>
        <v>0</v>
      </c>
      <c r="I7" s="50">
        <f>クレジット!D7</f>
        <v>0</v>
      </c>
      <c r="J7" s="3"/>
      <c r="K7" s="4" t="s">
        <v>68</v>
      </c>
      <c r="L7" s="3"/>
      <c r="M7" s="3"/>
      <c r="N7" s="4" t="s">
        <v>0</v>
      </c>
      <c r="O7" s="51">
        <f t="shared" si="0"/>
        <v>0</v>
      </c>
      <c r="P7" s="3"/>
      <c r="Q7" s="5">
        <f>クレジット!E7</f>
        <v>0</v>
      </c>
      <c r="R7" s="3"/>
      <c r="S7" s="3"/>
      <c r="T7" s="4">
        <v>0</v>
      </c>
      <c r="U7" s="4"/>
      <c r="V7" s="4"/>
      <c r="W7" s="4"/>
      <c r="X7" s="4"/>
      <c r="Y7" s="4" t="s">
        <v>1</v>
      </c>
    </row>
    <row r="8" spans="1:25" x14ac:dyDescent="0.4">
      <c r="A8" s="3">
        <v>2000</v>
      </c>
      <c r="B8" s="3"/>
      <c r="C8" s="3"/>
      <c r="D8" s="49">
        <f>クレジット!A8</f>
        <v>0</v>
      </c>
      <c r="E8" s="6">
        <f>クレジット!B8</f>
        <v>0</v>
      </c>
      <c r="F8" s="3"/>
      <c r="G8" s="3"/>
      <c r="H8" s="6">
        <f>クレジット!C8</f>
        <v>0</v>
      </c>
      <c r="I8" s="50">
        <f>クレジット!D8</f>
        <v>0</v>
      </c>
      <c r="J8" s="3"/>
      <c r="K8" s="4" t="s">
        <v>68</v>
      </c>
      <c r="L8" s="3"/>
      <c r="M8" s="3"/>
      <c r="N8" s="4" t="s">
        <v>0</v>
      </c>
      <c r="O8" s="51">
        <f t="shared" si="0"/>
        <v>0</v>
      </c>
      <c r="P8" s="3"/>
      <c r="Q8" s="5">
        <f>クレジット!E8</f>
        <v>0</v>
      </c>
      <c r="R8" s="3"/>
      <c r="S8" s="3"/>
      <c r="T8" s="4">
        <v>0</v>
      </c>
      <c r="U8" s="4"/>
      <c r="V8" s="4"/>
      <c r="W8" s="4"/>
      <c r="X8" s="4"/>
      <c r="Y8" s="4" t="s">
        <v>1</v>
      </c>
    </row>
    <row r="9" spans="1:25" x14ac:dyDescent="0.4">
      <c r="A9" s="3">
        <v>2000</v>
      </c>
      <c r="B9" s="3"/>
      <c r="C9" s="3"/>
      <c r="D9" s="49">
        <f>クレジット!A9</f>
        <v>0</v>
      </c>
      <c r="E9" s="6">
        <f>クレジット!B9</f>
        <v>0</v>
      </c>
      <c r="F9" s="3"/>
      <c r="G9" s="3"/>
      <c r="H9" s="6">
        <f>クレジット!C9</f>
        <v>0</v>
      </c>
      <c r="I9" s="50">
        <f>クレジット!D9</f>
        <v>0</v>
      </c>
      <c r="J9" s="3"/>
      <c r="K9" s="4" t="s">
        <v>68</v>
      </c>
      <c r="L9" s="3"/>
      <c r="M9" s="3"/>
      <c r="N9" s="4" t="s">
        <v>0</v>
      </c>
      <c r="O9" s="51">
        <f t="shared" si="0"/>
        <v>0</v>
      </c>
      <c r="P9" s="3"/>
      <c r="Q9" s="5">
        <f>クレジット!E9</f>
        <v>0</v>
      </c>
      <c r="R9" s="3"/>
      <c r="S9" s="3"/>
      <c r="T9" s="4">
        <v>0</v>
      </c>
      <c r="U9" s="4"/>
      <c r="V9" s="4"/>
      <c r="W9" s="4"/>
      <c r="X9" s="4"/>
      <c r="Y9" s="4" t="s">
        <v>1</v>
      </c>
    </row>
    <row r="10" spans="1:25" x14ac:dyDescent="0.4">
      <c r="A10" s="3">
        <v>2000</v>
      </c>
      <c r="B10" s="3"/>
      <c r="C10" s="3"/>
      <c r="D10" s="49">
        <f>クレジット!A10</f>
        <v>0</v>
      </c>
      <c r="E10" s="6">
        <f>クレジット!B10</f>
        <v>0</v>
      </c>
      <c r="F10" s="3"/>
      <c r="G10" s="3"/>
      <c r="H10" s="6">
        <f>クレジット!C10</f>
        <v>0</v>
      </c>
      <c r="I10" s="50">
        <f>クレジット!D10</f>
        <v>0</v>
      </c>
      <c r="J10" s="3"/>
      <c r="K10" s="4" t="s">
        <v>68</v>
      </c>
      <c r="L10" s="3"/>
      <c r="M10" s="3"/>
      <c r="N10" s="4" t="s">
        <v>0</v>
      </c>
      <c r="O10" s="51">
        <f t="shared" si="0"/>
        <v>0</v>
      </c>
      <c r="P10" s="3"/>
      <c r="Q10" s="5">
        <f>クレジット!E10</f>
        <v>0</v>
      </c>
      <c r="R10" s="3"/>
      <c r="S10" s="3"/>
      <c r="T10" s="4">
        <v>0</v>
      </c>
      <c r="U10" s="4"/>
      <c r="V10" s="4"/>
      <c r="W10" s="4"/>
      <c r="X10" s="4"/>
      <c r="Y10" s="4" t="s">
        <v>1</v>
      </c>
    </row>
    <row r="11" spans="1:25" x14ac:dyDescent="0.4">
      <c r="A11" s="3">
        <v>2000</v>
      </c>
      <c r="B11" s="3"/>
      <c r="C11" s="3"/>
      <c r="D11" s="49">
        <f>クレジット!A11</f>
        <v>0</v>
      </c>
      <c r="E11" s="6">
        <f>クレジット!B11</f>
        <v>0</v>
      </c>
      <c r="F11" s="3"/>
      <c r="G11" s="3"/>
      <c r="H11" s="6">
        <f>クレジット!C11</f>
        <v>0</v>
      </c>
      <c r="I11" s="50">
        <f>クレジット!D11</f>
        <v>0</v>
      </c>
      <c r="J11" s="3"/>
      <c r="K11" s="4" t="s">
        <v>68</v>
      </c>
      <c r="L11" s="3"/>
      <c r="M11" s="3"/>
      <c r="N11" s="4" t="s">
        <v>0</v>
      </c>
      <c r="O11" s="51">
        <f t="shared" si="0"/>
        <v>0</v>
      </c>
      <c r="P11" s="3"/>
      <c r="Q11" s="5">
        <f>クレジット!E11</f>
        <v>0</v>
      </c>
      <c r="R11" s="3"/>
      <c r="S11" s="3"/>
      <c r="T11" s="4">
        <v>0</v>
      </c>
      <c r="U11" s="4"/>
      <c r="V11" s="4"/>
      <c r="W11" s="4"/>
      <c r="X11" s="4"/>
      <c r="Y11" s="4" t="s">
        <v>1</v>
      </c>
    </row>
    <row r="12" spans="1:25" x14ac:dyDescent="0.4">
      <c r="A12" s="3">
        <v>2000</v>
      </c>
      <c r="B12" s="3"/>
      <c r="C12" s="3"/>
      <c r="D12" s="49">
        <f>クレジット!A12</f>
        <v>0</v>
      </c>
      <c r="E12" s="6">
        <f>クレジット!B12</f>
        <v>0</v>
      </c>
      <c r="F12" s="3"/>
      <c r="G12" s="3"/>
      <c r="H12" s="6">
        <f>クレジット!C12</f>
        <v>0</v>
      </c>
      <c r="I12" s="50">
        <f>クレジット!D12</f>
        <v>0</v>
      </c>
      <c r="J12" s="3"/>
      <c r="K12" s="4" t="s">
        <v>68</v>
      </c>
      <c r="L12" s="3"/>
      <c r="M12" s="3"/>
      <c r="N12" s="4" t="s">
        <v>0</v>
      </c>
      <c r="O12" s="51">
        <f t="shared" si="0"/>
        <v>0</v>
      </c>
      <c r="P12" s="3"/>
      <c r="Q12" s="5">
        <f>クレジット!E12</f>
        <v>0</v>
      </c>
      <c r="R12" s="3"/>
      <c r="S12" s="3"/>
      <c r="T12" s="4">
        <v>0</v>
      </c>
      <c r="U12" s="4"/>
      <c r="V12" s="4"/>
      <c r="W12" s="4"/>
      <c r="X12" s="4"/>
      <c r="Y12" s="4" t="s">
        <v>1</v>
      </c>
    </row>
    <row r="13" spans="1:25" x14ac:dyDescent="0.4">
      <c r="A13" s="3">
        <v>2000</v>
      </c>
      <c r="B13" s="3"/>
      <c r="C13" s="3"/>
      <c r="D13" s="49">
        <f>クレジット!A13</f>
        <v>0</v>
      </c>
      <c r="E13" s="6">
        <f>クレジット!B13</f>
        <v>0</v>
      </c>
      <c r="F13" s="3"/>
      <c r="G13" s="3"/>
      <c r="H13" s="6">
        <f>クレジット!C13</f>
        <v>0</v>
      </c>
      <c r="I13" s="50">
        <f>クレジット!D13</f>
        <v>0</v>
      </c>
      <c r="J13" s="3"/>
      <c r="K13" s="4" t="s">
        <v>68</v>
      </c>
      <c r="L13" s="3"/>
      <c r="M13" s="3"/>
      <c r="N13" s="4" t="s">
        <v>0</v>
      </c>
      <c r="O13" s="51">
        <f t="shared" si="0"/>
        <v>0</v>
      </c>
      <c r="P13" s="3"/>
      <c r="Q13" s="5">
        <f>クレジット!E13</f>
        <v>0</v>
      </c>
      <c r="R13" s="3"/>
      <c r="S13" s="3"/>
      <c r="T13" s="4">
        <v>0</v>
      </c>
      <c r="U13" s="4"/>
      <c r="V13" s="4"/>
      <c r="W13" s="4"/>
      <c r="X13" s="4"/>
      <c r="Y13" s="4" t="s">
        <v>1</v>
      </c>
    </row>
    <row r="14" spans="1:25" x14ac:dyDescent="0.4">
      <c r="A14" s="3">
        <v>2000</v>
      </c>
      <c r="B14" s="3"/>
      <c r="C14" s="3"/>
      <c r="D14" s="49">
        <f>クレジット!A14</f>
        <v>0</v>
      </c>
      <c r="E14" s="6">
        <f>クレジット!B14</f>
        <v>0</v>
      </c>
      <c r="F14" s="3"/>
      <c r="G14" s="3"/>
      <c r="H14" s="6">
        <f>クレジット!C14</f>
        <v>0</v>
      </c>
      <c r="I14" s="50">
        <f>クレジット!D14</f>
        <v>0</v>
      </c>
      <c r="J14" s="3"/>
      <c r="K14" s="4" t="s">
        <v>68</v>
      </c>
      <c r="L14" s="3"/>
      <c r="M14" s="3"/>
      <c r="N14" s="4" t="s">
        <v>0</v>
      </c>
      <c r="O14" s="51">
        <f t="shared" si="0"/>
        <v>0</v>
      </c>
      <c r="P14" s="3"/>
      <c r="Q14" s="5">
        <f>クレジット!E14</f>
        <v>0</v>
      </c>
      <c r="R14" s="3"/>
      <c r="S14" s="3"/>
      <c r="T14" s="4">
        <v>0</v>
      </c>
      <c r="U14" s="4"/>
      <c r="V14" s="4"/>
      <c r="W14" s="4"/>
      <c r="X14" s="4"/>
      <c r="Y14" s="4" t="s">
        <v>1</v>
      </c>
    </row>
    <row r="15" spans="1:25" x14ac:dyDescent="0.4">
      <c r="A15" s="3">
        <v>2000</v>
      </c>
      <c r="B15" s="3"/>
      <c r="C15" s="3"/>
      <c r="D15" s="49">
        <f>クレジット!A15</f>
        <v>0</v>
      </c>
      <c r="E15" s="6">
        <f>クレジット!B15</f>
        <v>0</v>
      </c>
      <c r="F15" s="3"/>
      <c r="G15" s="3"/>
      <c r="H15" s="6">
        <f>クレジット!C15</f>
        <v>0</v>
      </c>
      <c r="I15" s="50">
        <f>クレジット!D15</f>
        <v>0</v>
      </c>
      <c r="J15" s="3"/>
      <c r="K15" s="4" t="s">
        <v>68</v>
      </c>
      <c r="L15" s="3"/>
      <c r="M15" s="3"/>
      <c r="N15" s="4" t="s">
        <v>0</v>
      </c>
      <c r="O15" s="51">
        <f t="shared" si="0"/>
        <v>0</v>
      </c>
      <c r="P15" s="3"/>
      <c r="Q15" s="5">
        <f>クレジット!E15</f>
        <v>0</v>
      </c>
      <c r="R15" s="3"/>
      <c r="S15" s="3"/>
      <c r="T15" s="4">
        <v>0</v>
      </c>
      <c r="U15" s="4"/>
      <c r="V15" s="4"/>
      <c r="W15" s="4"/>
      <c r="X15" s="4"/>
      <c r="Y15" s="4" t="s">
        <v>1</v>
      </c>
    </row>
    <row r="16" spans="1:25" x14ac:dyDescent="0.4">
      <c r="A16" s="3">
        <v>2000</v>
      </c>
      <c r="B16" s="3"/>
      <c r="C16" s="3"/>
      <c r="D16" s="49">
        <f>クレジット!A16</f>
        <v>0</v>
      </c>
      <c r="E16" s="6">
        <f>クレジット!B16</f>
        <v>0</v>
      </c>
      <c r="F16" s="3"/>
      <c r="G16" s="3"/>
      <c r="H16" s="6">
        <f>クレジット!C16</f>
        <v>0</v>
      </c>
      <c r="I16" s="50">
        <f>クレジット!D16</f>
        <v>0</v>
      </c>
      <c r="J16" s="3"/>
      <c r="K16" s="4" t="s">
        <v>68</v>
      </c>
      <c r="L16" s="3"/>
      <c r="M16" s="3"/>
      <c r="N16" s="4" t="s">
        <v>0</v>
      </c>
      <c r="O16" s="51">
        <f t="shared" si="0"/>
        <v>0</v>
      </c>
      <c r="P16" s="3"/>
      <c r="Q16" s="5">
        <f>クレジット!E16</f>
        <v>0</v>
      </c>
      <c r="R16" s="3"/>
      <c r="S16" s="3"/>
      <c r="T16" s="4">
        <v>0</v>
      </c>
      <c r="U16" s="4"/>
      <c r="V16" s="4"/>
      <c r="W16" s="4"/>
      <c r="X16" s="4"/>
      <c r="Y16" s="4" t="s">
        <v>1</v>
      </c>
    </row>
    <row r="17" spans="1:25" x14ac:dyDescent="0.4">
      <c r="A17" s="3">
        <v>2000</v>
      </c>
      <c r="B17" s="3"/>
      <c r="C17" s="3"/>
      <c r="D17" s="49">
        <f>クレジット!A17</f>
        <v>0</v>
      </c>
      <c r="E17" s="6">
        <f>クレジット!B17</f>
        <v>0</v>
      </c>
      <c r="F17" s="3"/>
      <c r="G17" s="3"/>
      <c r="H17" s="6">
        <f>クレジット!C17</f>
        <v>0</v>
      </c>
      <c r="I17" s="50">
        <f>クレジット!D17</f>
        <v>0</v>
      </c>
      <c r="J17" s="3"/>
      <c r="K17" s="4" t="s">
        <v>68</v>
      </c>
      <c r="L17" s="3"/>
      <c r="M17" s="3"/>
      <c r="N17" s="4" t="s">
        <v>0</v>
      </c>
      <c r="O17" s="51">
        <f t="shared" si="0"/>
        <v>0</v>
      </c>
      <c r="P17" s="3"/>
      <c r="Q17" s="5">
        <f>クレジット!E17</f>
        <v>0</v>
      </c>
      <c r="R17" s="3"/>
      <c r="S17" s="3"/>
      <c r="T17" s="4">
        <v>0</v>
      </c>
      <c r="U17" s="4"/>
      <c r="V17" s="4"/>
      <c r="W17" s="4"/>
      <c r="X17" s="4"/>
      <c r="Y17" s="4" t="s">
        <v>1</v>
      </c>
    </row>
    <row r="18" spans="1:25" x14ac:dyDescent="0.4">
      <c r="A18" s="3">
        <v>2000</v>
      </c>
      <c r="B18" s="3"/>
      <c r="C18" s="3"/>
      <c r="D18" s="49">
        <f>クレジット!A18</f>
        <v>0</v>
      </c>
      <c r="E18" s="6">
        <f>クレジット!B18</f>
        <v>0</v>
      </c>
      <c r="F18" s="3"/>
      <c r="G18" s="3"/>
      <c r="H18" s="6">
        <f>クレジット!C18</f>
        <v>0</v>
      </c>
      <c r="I18" s="50">
        <f>クレジット!D18</f>
        <v>0</v>
      </c>
      <c r="J18" s="3"/>
      <c r="K18" s="4" t="s">
        <v>68</v>
      </c>
      <c r="L18" s="3"/>
      <c r="M18" s="3"/>
      <c r="N18" s="4" t="s">
        <v>0</v>
      </c>
      <c r="O18" s="51">
        <f t="shared" si="0"/>
        <v>0</v>
      </c>
      <c r="P18" s="3"/>
      <c r="Q18" s="5">
        <f>クレジット!E18</f>
        <v>0</v>
      </c>
      <c r="R18" s="3"/>
      <c r="S18" s="3"/>
      <c r="T18" s="4">
        <v>0</v>
      </c>
      <c r="U18" s="4"/>
      <c r="V18" s="4"/>
      <c r="W18" s="4"/>
      <c r="X18" s="4"/>
      <c r="Y18" s="4" t="s">
        <v>1</v>
      </c>
    </row>
    <row r="19" spans="1:25" x14ac:dyDescent="0.4">
      <c r="A19" s="3">
        <v>2000</v>
      </c>
      <c r="B19" s="3"/>
      <c r="C19" s="3"/>
      <c r="D19" s="49">
        <f>クレジット!A19</f>
        <v>0</v>
      </c>
      <c r="E19" s="6">
        <f>クレジット!B19</f>
        <v>0</v>
      </c>
      <c r="F19" s="3"/>
      <c r="G19" s="3"/>
      <c r="H19" s="6">
        <f>クレジット!C19</f>
        <v>0</v>
      </c>
      <c r="I19" s="50">
        <f>クレジット!D19</f>
        <v>0</v>
      </c>
      <c r="J19" s="3"/>
      <c r="K19" s="4" t="s">
        <v>68</v>
      </c>
      <c r="L19" s="3"/>
      <c r="M19" s="3"/>
      <c r="N19" s="4" t="s">
        <v>0</v>
      </c>
      <c r="O19" s="51">
        <f t="shared" si="0"/>
        <v>0</v>
      </c>
      <c r="P19" s="3"/>
      <c r="Q19" s="5">
        <f>クレジット!E19</f>
        <v>0</v>
      </c>
      <c r="R19" s="3"/>
      <c r="S19" s="3"/>
      <c r="T19" s="4">
        <v>0</v>
      </c>
      <c r="U19" s="4"/>
      <c r="V19" s="4"/>
      <c r="W19" s="4"/>
      <c r="X19" s="4"/>
      <c r="Y19" s="4" t="s">
        <v>1</v>
      </c>
    </row>
    <row r="20" spans="1:25" x14ac:dyDescent="0.4">
      <c r="A20" s="3">
        <v>2000</v>
      </c>
      <c r="B20" s="3"/>
      <c r="C20" s="3"/>
      <c r="D20" s="49">
        <f>クレジット!A20</f>
        <v>0</v>
      </c>
      <c r="E20" s="6">
        <f>クレジット!B20</f>
        <v>0</v>
      </c>
      <c r="F20" s="3"/>
      <c r="G20" s="3"/>
      <c r="H20" s="6">
        <f>クレジット!C20</f>
        <v>0</v>
      </c>
      <c r="I20" s="50">
        <f>クレジット!D20</f>
        <v>0</v>
      </c>
      <c r="J20" s="3"/>
      <c r="K20" s="4" t="s">
        <v>68</v>
      </c>
      <c r="L20" s="3"/>
      <c r="M20" s="3"/>
      <c r="N20" s="4" t="s">
        <v>0</v>
      </c>
      <c r="O20" s="51">
        <f t="shared" si="0"/>
        <v>0</v>
      </c>
      <c r="P20" s="3"/>
      <c r="Q20" s="5">
        <f>クレジット!E20</f>
        <v>0</v>
      </c>
      <c r="R20" s="3"/>
      <c r="S20" s="3"/>
      <c r="T20" s="4">
        <v>0</v>
      </c>
      <c r="U20" s="4"/>
      <c r="V20" s="4"/>
      <c r="W20" s="4"/>
      <c r="X20" s="4"/>
      <c r="Y20" s="4" t="s">
        <v>1</v>
      </c>
    </row>
    <row r="21" spans="1:25" x14ac:dyDescent="0.4">
      <c r="A21" s="3">
        <v>2000</v>
      </c>
      <c r="B21" s="3"/>
      <c r="C21" s="3"/>
      <c r="D21" s="49">
        <f>クレジット!A21</f>
        <v>0</v>
      </c>
      <c r="E21" s="6">
        <f>クレジット!B21</f>
        <v>0</v>
      </c>
      <c r="F21" s="3"/>
      <c r="G21" s="3"/>
      <c r="H21" s="6">
        <f>クレジット!C21</f>
        <v>0</v>
      </c>
      <c r="I21" s="50">
        <f>クレジット!D21</f>
        <v>0</v>
      </c>
      <c r="J21" s="3"/>
      <c r="K21" s="4" t="s">
        <v>68</v>
      </c>
      <c r="L21" s="3"/>
      <c r="M21" s="3"/>
      <c r="N21" s="4" t="s">
        <v>0</v>
      </c>
      <c r="O21" s="51">
        <f t="shared" si="0"/>
        <v>0</v>
      </c>
      <c r="P21" s="3"/>
      <c r="Q21" s="5">
        <f>クレジット!E21</f>
        <v>0</v>
      </c>
      <c r="R21" s="3"/>
      <c r="S21" s="3"/>
      <c r="T21" s="4">
        <v>0</v>
      </c>
      <c r="U21" s="4"/>
      <c r="V21" s="4"/>
      <c r="W21" s="4"/>
      <c r="X21" s="4"/>
      <c r="Y21" s="4" t="s">
        <v>1</v>
      </c>
    </row>
    <row r="22" spans="1:25" x14ac:dyDescent="0.4">
      <c r="A22" s="3">
        <v>2000</v>
      </c>
      <c r="B22" s="3"/>
      <c r="C22" s="3"/>
      <c r="D22" s="49">
        <f>クレジット!A22</f>
        <v>0</v>
      </c>
      <c r="E22" s="6">
        <f>クレジット!B22</f>
        <v>0</v>
      </c>
      <c r="F22" s="3"/>
      <c r="G22" s="3"/>
      <c r="H22" s="6">
        <f>クレジット!C22</f>
        <v>0</v>
      </c>
      <c r="I22" s="50">
        <f>クレジット!D22</f>
        <v>0</v>
      </c>
      <c r="J22" s="3"/>
      <c r="K22" s="4" t="s">
        <v>68</v>
      </c>
      <c r="L22" s="3"/>
      <c r="M22" s="3"/>
      <c r="N22" s="4" t="s">
        <v>0</v>
      </c>
      <c r="O22" s="51">
        <f t="shared" si="0"/>
        <v>0</v>
      </c>
      <c r="P22" s="3"/>
      <c r="Q22" s="5">
        <f>クレジット!E22</f>
        <v>0</v>
      </c>
      <c r="R22" s="3"/>
      <c r="S22" s="3"/>
      <c r="T22" s="4">
        <v>0</v>
      </c>
      <c r="U22" s="4"/>
      <c r="V22" s="4"/>
      <c r="W22" s="4"/>
      <c r="X22" s="4"/>
      <c r="Y22" s="4" t="s">
        <v>1</v>
      </c>
    </row>
    <row r="23" spans="1:25" x14ac:dyDescent="0.4">
      <c r="A23" s="3">
        <v>2000</v>
      </c>
      <c r="B23" s="3"/>
      <c r="C23" s="3"/>
      <c r="D23" s="49">
        <f>クレジット!A23</f>
        <v>0</v>
      </c>
      <c r="E23" s="6">
        <f>クレジット!B23</f>
        <v>0</v>
      </c>
      <c r="F23" s="3"/>
      <c r="G23" s="3"/>
      <c r="H23" s="6">
        <f>クレジット!C23</f>
        <v>0</v>
      </c>
      <c r="I23" s="50">
        <f>クレジット!D23</f>
        <v>0</v>
      </c>
      <c r="J23" s="3"/>
      <c r="K23" s="4" t="s">
        <v>68</v>
      </c>
      <c r="L23" s="3"/>
      <c r="M23" s="3"/>
      <c r="N23" s="4" t="s">
        <v>0</v>
      </c>
      <c r="O23" s="51">
        <f t="shared" si="0"/>
        <v>0</v>
      </c>
      <c r="P23" s="3"/>
      <c r="Q23" s="5">
        <f>クレジット!E23</f>
        <v>0</v>
      </c>
      <c r="R23" s="3"/>
      <c r="S23" s="3"/>
      <c r="T23" s="4">
        <v>0</v>
      </c>
      <c r="U23" s="4"/>
      <c r="V23" s="4"/>
      <c r="W23" s="4"/>
      <c r="X23" s="4"/>
      <c r="Y23" s="4" t="s">
        <v>1</v>
      </c>
    </row>
    <row r="24" spans="1:25" x14ac:dyDescent="0.4">
      <c r="A24" s="3">
        <v>2000</v>
      </c>
      <c r="B24" s="3"/>
      <c r="C24" s="3"/>
      <c r="D24" s="49">
        <f>クレジット!A24</f>
        <v>0</v>
      </c>
      <c r="E24" s="6">
        <f>クレジット!B24</f>
        <v>0</v>
      </c>
      <c r="F24" s="3"/>
      <c r="G24" s="3"/>
      <c r="H24" s="6">
        <f>クレジット!C24</f>
        <v>0</v>
      </c>
      <c r="I24" s="50">
        <f>クレジット!D24</f>
        <v>0</v>
      </c>
      <c r="J24" s="3"/>
      <c r="K24" s="4" t="s">
        <v>68</v>
      </c>
      <c r="L24" s="3"/>
      <c r="M24" s="3"/>
      <c r="N24" s="4" t="s">
        <v>0</v>
      </c>
      <c r="O24" s="51">
        <f t="shared" si="0"/>
        <v>0</v>
      </c>
      <c r="P24" s="3"/>
      <c r="Q24" s="5">
        <f>クレジット!E24</f>
        <v>0</v>
      </c>
      <c r="R24" s="3"/>
      <c r="S24" s="3"/>
      <c r="T24" s="4">
        <v>0</v>
      </c>
      <c r="U24" s="4"/>
      <c r="V24" s="4"/>
      <c r="W24" s="4"/>
      <c r="X24" s="4"/>
      <c r="Y24" s="4" t="s">
        <v>1</v>
      </c>
    </row>
    <row r="25" spans="1:25" x14ac:dyDescent="0.4">
      <c r="A25" s="3">
        <v>2000</v>
      </c>
      <c r="B25" s="3"/>
      <c r="C25" s="3"/>
      <c r="D25" s="49">
        <f>クレジット!A25</f>
        <v>0</v>
      </c>
      <c r="E25" s="6">
        <f>クレジット!B25</f>
        <v>0</v>
      </c>
      <c r="F25" s="3"/>
      <c r="G25" s="3"/>
      <c r="H25" s="6">
        <f>クレジット!C25</f>
        <v>0</v>
      </c>
      <c r="I25" s="50">
        <f>クレジット!D25</f>
        <v>0</v>
      </c>
      <c r="J25" s="3"/>
      <c r="K25" s="4" t="s">
        <v>68</v>
      </c>
      <c r="L25" s="3"/>
      <c r="M25" s="3"/>
      <c r="N25" s="4" t="s">
        <v>0</v>
      </c>
      <c r="O25" s="51">
        <f t="shared" si="0"/>
        <v>0</v>
      </c>
      <c r="P25" s="3"/>
      <c r="Q25" s="5">
        <f>クレジット!E25</f>
        <v>0</v>
      </c>
      <c r="R25" s="3"/>
      <c r="S25" s="3"/>
      <c r="T25" s="4">
        <v>0</v>
      </c>
      <c r="U25" s="4"/>
      <c r="V25" s="4"/>
      <c r="W25" s="4"/>
      <c r="X25" s="4"/>
      <c r="Y25" s="4" t="s">
        <v>1</v>
      </c>
    </row>
    <row r="26" spans="1:25" x14ac:dyDescent="0.4">
      <c r="A26" s="3">
        <v>2000</v>
      </c>
      <c r="B26" s="3"/>
      <c r="C26" s="3"/>
      <c r="D26" s="49">
        <f>クレジット!A26</f>
        <v>0</v>
      </c>
      <c r="E26" s="6">
        <f>クレジット!B26</f>
        <v>0</v>
      </c>
      <c r="F26" s="3"/>
      <c r="G26" s="3"/>
      <c r="H26" s="6">
        <f>クレジット!C26</f>
        <v>0</v>
      </c>
      <c r="I26" s="50">
        <f>クレジット!D26</f>
        <v>0</v>
      </c>
      <c r="J26" s="3"/>
      <c r="K26" s="4" t="s">
        <v>68</v>
      </c>
      <c r="L26" s="3"/>
      <c r="M26" s="3"/>
      <c r="N26" s="4" t="s">
        <v>0</v>
      </c>
      <c r="O26" s="51">
        <f t="shared" si="0"/>
        <v>0</v>
      </c>
      <c r="P26" s="3"/>
      <c r="Q26" s="5">
        <f>クレジット!E26</f>
        <v>0</v>
      </c>
      <c r="R26" s="3"/>
      <c r="S26" s="3"/>
      <c r="T26" s="4">
        <v>0</v>
      </c>
      <c r="U26" s="4"/>
      <c r="V26" s="4"/>
      <c r="W26" s="4"/>
      <c r="X26" s="4"/>
      <c r="Y26" s="4" t="s">
        <v>1</v>
      </c>
    </row>
    <row r="27" spans="1:25" x14ac:dyDescent="0.4">
      <c r="A27" s="3">
        <v>2000</v>
      </c>
      <c r="B27" s="3"/>
      <c r="C27" s="3"/>
      <c r="D27" s="49">
        <f>クレジット!A27</f>
        <v>0</v>
      </c>
      <c r="E27" s="6">
        <f>クレジット!B27</f>
        <v>0</v>
      </c>
      <c r="F27" s="3"/>
      <c r="G27" s="3"/>
      <c r="H27" s="6">
        <f>クレジット!C27</f>
        <v>0</v>
      </c>
      <c r="I27" s="50">
        <f>クレジット!D27</f>
        <v>0</v>
      </c>
      <c r="J27" s="3"/>
      <c r="K27" s="4" t="s">
        <v>68</v>
      </c>
      <c r="L27" s="3"/>
      <c r="M27" s="3"/>
      <c r="N27" s="4" t="s">
        <v>0</v>
      </c>
      <c r="O27" s="51">
        <f t="shared" si="0"/>
        <v>0</v>
      </c>
      <c r="P27" s="3"/>
      <c r="Q27" s="5">
        <f>クレジット!E27</f>
        <v>0</v>
      </c>
      <c r="R27" s="3"/>
      <c r="S27" s="3"/>
      <c r="T27" s="4">
        <v>0</v>
      </c>
      <c r="U27" s="4"/>
      <c r="V27" s="4"/>
      <c r="W27" s="4"/>
      <c r="X27" s="4"/>
      <c r="Y27" s="4" t="s">
        <v>1</v>
      </c>
    </row>
    <row r="28" spans="1:25" x14ac:dyDescent="0.4">
      <c r="A28" s="3">
        <v>2000</v>
      </c>
      <c r="B28" s="3"/>
      <c r="C28" s="3"/>
      <c r="D28" s="49">
        <f>クレジット!A28</f>
        <v>0</v>
      </c>
      <c r="E28" s="6">
        <f>クレジット!B28</f>
        <v>0</v>
      </c>
      <c r="F28" s="3"/>
      <c r="G28" s="3"/>
      <c r="H28" s="6">
        <f>クレジット!C28</f>
        <v>0</v>
      </c>
      <c r="I28" s="50">
        <f>クレジット!D28</f>
        <v>0</v>
      </c>
      <c r="J28" s="3"/>
      <c r="K28" s="4" t="s">
        <v>68</v>
      </c>
      <c r="L28" s="3"/>
      <c r="M28" s="3"/>
      <c r="N28" s="4" t="s">
        <v>0</v>
      </c>
      <c r="O28" s="51">
        <f t="shared" si="0"/>
        <v>0</v>
      </c>
      <c r="P28" s="3"/>
      <c r="Q28" s="5">
        <f>クレジット!E28</f>
        <v>0</v>
      </c>
      <c r="R28" s="3"/>
      <c r="S28" s="3"/>
      <c r="T28" s="4">
        <v>0</v>
      </c>
      <c r="U28" s="4"/>
      <c r="V28" s="4"/>
      <c r="W28" s="4"/>
      <c r="X28" s="4"/>
      <c r="Y28" s="4" t="s">
        <v>1</v>
      </c>
    </row>
    <row r="29" spans="1:25" x14ac:dyDescent="0.4">
      <c r="A29" s="3">
        <v>2000</v>
      </c>
      <c r="B29" s="3"/>
      <c r="C29" s="3"/>
      <c r="D29" s="49">
        <f>クレジット!A29</f>
        <v>0</v>
      </c>
      <c r="E29" s="6">
        <f>クレジット!B29</f>
        <v>0</v>
      </c>
      <c r="F29" s="3"/>
      <c r="G29" s="3"/>
      <c r="H29" s="6">
        <f>クレジット!C29</f>
        <v>0</v>
      </c>
      <c r="I29" s="50">
        <f>クレジット!D29</f>
        <v>0</v>
      </c>
      <c r="J29" s="3"/>
      <c r="K29" s="4" t="s">
        <v>68</v>
      </c>
      <c r="L29" s="3"/>
      <c r="M29" s="3"/>
      <c r="N29" s="4" t="s">
        <v>0</v>
      </c>
      <c r="O29" s="51">
        <f t="shared" si="0"/>
        <v>0</v>
      </c>
      <c r="P29" s="3"/>
      <c r="Q29" s="5">
        <f>クレジット!E29</f>
        <v>0</v>
      </c>
      <c r="R29" s="3"/>
      <c r="S29" s="3"/>
      <c r="T29" s="4">
        <v>0</v>
      </c>
      <c r="U29" s="4"/>
      <c r="V29" s="4"/>
      <c r="W29" s="4"/>
      <c r="X29" s="4"/>
      <c r="Y29" s="4" t="s">
        <v>1</v>
      </c>
    </row>
    <row r="30" spans="1:25" x14ac:dyDescent="0.4">
      <c r="A30" s="3">
        <v>2000</v>
      </c>
      <c r="B30" s="3"/>
      <c r="C30" s="3"/>
      <c r="D30" s="49">
        <f>クレジット!A30</f>
        <v>0</v>
      </c>
      <c r="E30" s="6">
        <f>クレジット!B30</f>
        <v>0</v>
      </c>
      <c r="F30" s="3"/>
      <c r="G30" s="3"/>
      <c r="H30" s="6">
        <f>クレジット!C30</f>
        <v>0</v>
      </c>
      <c r="I30" s="50">
        <f>クレジット!D30</f>
        <v>0</v>
      </c>
      <c r="J30" s="3"/>
      <c r="K30" s="4" t="s">
        <v>68</v>
      </c>
      <c r="L30" s="3"/>
      <c r="M30" s="3"/>
      <c r="N30" s="4" t="s">
        <v>0</v>
      </c>
      <c r="O30" s="51">
        <f t="shared" si="0"/>
        <v>0</v>
      </c>
      <c r="P30" s="3"/>
      <c r="Q30" s="5">
        <f>クレジット!E30</f>
        <v>0</v>
      </c>
      <c r="R30" s="3"/>
      <c r="S30" s="3"/>
      <c r="T30" s="4">
        <v>0</v>
      </c>
      <c r="U30" s="4"/>
      <c r="V30" s="4"/>
      <c r="W30" s="4"/>
      <c r="X30" s="4"/>
      <c r="Y30" s="4" t="s">
        <v>1</v>
      </c>
    </row>
    <row r="31" spans="1:25" x14ac:dyDescent="0.4">
      <c r="A31" s="3">
        <v>2000</v>
      </c>
      <c r="B31" s="3"/>
      <c r="C31" s="3"/>
      <c r="D31" s="49">
        <f>クレジット!A31</f>
        <v>0</v>
      </c>
      <c r="E31" s="6">
        <f>クレジット!B31</f>
        <v>0</v>
      </c>
      <c r="F31" s="3"/>
      <c r="G31" s="3"/>
      <c r="H31" s="6">
        <f>クレジット!C31</f>
        <v>0</v>
      </c>
      <c r="I31" s="50">
        <f>クレジット!D31</f>
        <v>0</v>
      </c>
      <c r="J31" s="3"/>
      <c r="K31" s="4" t="s">
        <v>68</v>
      </c>
      <c r="L31" s="3"/>
      <c r="M31" s="3"/>
      <c r="N31" s="4" t="s">
        <v>0</v>
      </c>
      <c r="O31" s="51">
        <f t="shared" si="0"/>
        <v>0</v>
      </c>
      <c r="P31" s="3"/>
      <c r="Q31" s="5">
        <f>クレジット!E31</f>
        <v>0</v>
      </c>
      <c r="R31" s="3"/>
      <c r="S31" s="3"/>
      <c r="T31" s="4">
        <v>0</v>
      </c>
      <c r="U31" s="4"/>
      <c r="V31" s="4"/>
      <c r="W31" s="4"/>
      <c r="X31" s="4"/>
      <c r="Y31" s="4" t="s">
        <v>1</v>
      </c>
    </row>
    <row r="32" spans="1:25" x14ac:dyDescent="0.4">
      <c r="A32" s="3">
        <v>2000</v>
      </c>
      <c r="B32" s="3"/>
      <c r="C32" s="3"/>
      <c r="D32" s="49">
        <f>クレジット!A32</f>
        <v>0</v>
      </c>
      <c r="E32" s="6">
        <f>クレジット!B32</f>
        <v>0</v>
      </c>
      <c r="F32" s="3"/>
      <c r="G32" s="3"/>
      <c r="H32" s="6">
        <f>クレジット!C32</f>
        <v>0</v>
      </c>
      <c r="I32" s="50">
        <f>クレジット!D32</f>
        <v>0</v>
      </c>
      <c r="J32" s="3"/>
      <c r="K32" s="4" t="s">
        <v>68</v>
      </c>
      <c r="L32" s="3"/>
      <c r="M32" s="3"/>
      <c r="N32" s="4" t="s">
        <v>0</v>
      </c>
      <c r="O32" s="51">
        <f t="shared" si="0"/>
        <v>0</v>
      </c>
      <c r="P32" s="3"/>
      <c r="Q32" s="5">
        <f>クレジット!E32</f>
        <v>0</v>
      </c>
      <c r="R32" s="3"/>
      <c r="S32" s="3"/>
      <c r="T32" s="4">
        <v>0</v>
      </c>
      <c r="U32" s="4"/>
      <c r="V32" s="4"/>
      <c r="W32" s="4"/>
      <c r="X32" s="4"/>
      <c r="Y32" s="4" t="s">
        <v>1</v>
      </c>
    </row>
    <row r="33" spans="1:25" x14ac:dyDescent="0.4">
      <c r="A33" s="3">
        <v>2000</v>
      </c>
      <c r="B33" s="3"/>
      <c r="C33" s="3"/>
      <c r="D33" s="49">
        <f>クレジット!A33</f>
        <v>0</v>
      </c>
      <c r="E33" s="6">
        <f>クレジット!B33</f>
        <v>0</v>
      </c>
      <c r="F33" s="3"/>
      <c r="G33" s="3"/>
      <c r="H33" s="6">
        <f>クレジット!C33</f>
        <v>0</v>
      </c>
      <c r="I33" s="50">
        <f>クレジット!D33</f>
        <v>0</v>
      </c>
      <c r="J33" s="3"/>
      <c r="K33" s="4" t="s">
        <v>68</v>
      </c>
      <c r="L33" s="3"/>
      <c r="M33" s="3"/>
      <c r="N33" s="4" t="s">
        <v>0</v>
      </c>
      <c r="O33" s="51">
        <f t="shared" si="0"/>
        <v>0</v>
      </c>
      <c r="P33" s="3"/>
      <c r="Q33" s="5">
        <f>クレジット!E33</f>
        <v>0</v>
      </c>
      <c r="R33" s="3"/>
      <c r="S33" s="3"/>
      <c r="T33" s="4">
        <v>0</v>
      </c>
      <c r="U33" s="4"/>
      <c r="V33" s="4"/>
      <c r="W33" s="4"/>
      <c r="X33" s="4"/>
      <c r="Y33" s="4" t="s">
        <v>1</v>
      </c>
    </row>
    <row r="34" spans="1:25" x14ac:dyDescent="0.4">
      <c r="A34" s="3">
        <v>2000</v>
      </c>
      <c r="B34" s="3"/>
      <c r="C34" s="3"/>
      <c r="D34" s="49">
        <f>クレジット!A34</f>
        <v>0</v>
      </c>
      <c r="E34" s="6">
        <f>クレジット!B34</f>
        <v>0</v>
      </c>
      <c r="F34" s="3"/>
      <c r="G34" s="3"/>
      <c r="H34" s="6">
        <f>クレジット!C34</f>
        <v>0</v>
      </c>
      <c r="I34" s="50">
        <f>クレジット!D34</f>
        <v>0</v>
      </c>
      <c r="J34" s="3"/>
      <c r="K34" s="4" t="s">
        <v>68</v>
      </c>
      <c r="L34" s="3"/>
      <c r="M34" s="3"/>
      <c r="N34" s="4" t="s">
        <v>0</v>
      </c>
      <c r="O34" s="51">
        <f t="shared" si="0"/>
        <v>0</v>
      </c>
      <c r="P34" s="3"/>
      <c r="Q34" s="5">
        <f>クレジット!E34</f>
        <v>0</v>
      </c>
      <c r="R34" s="3"/>
      <c r="S34" s="3"/>
      <c r="T34" s="4">
        <v>0</v>
      </c>
      <c r="U34" s="4"/>
      <c r="V34" s="4"/>
      <c r="W34" s="4"/>
      <c r="X34" s="4"/>
      <c r="Y34" s="4" t="s">
        <v>1</v>
      </c>
    </row>
    <row r="35" spans="1:25" x14ac:dyDescent="0.4">
      <c r="A35" s="3">
        <v>2000</v>
      </c>
      <c r="B35" s="3"/>
      <c r="C35" s="3"/>
      <c r="D35" s="49">
        <f>クレジット!A35</f>
        <v>0</v>
      </c>
      <c r="E35" s="6">
        <f>クレジット!B35</f>
        <v>0</v>
      </c>
      <c r="F35" s="3"/>
      <c r="G35" s="3"/>
      <c r="H35" s="6">
        <f>クレジット!C35</f>
        <v>0</v>
      </c>
      <c r="I35" s="50">
        <f>クレジット!D35</f>
        <v>0</v>
      </c>
      <c r="J35" s="3"/>
      <c r="K35" s="4" t="s">
        <v>68</v>
      </c>
      <c r="L35" s="3"/>
      <c r="M35" s="3"/>
      <c r="N35" s="4" t="s">
        <v>0</v>
      </c>
      <c r="O35" s="51">
        <f t="shared" si="0"/>
        <v>0</v>
      </c>
      <c r="P35" s="3"/>
      <c r="Q35" s="5">
        <f>クレジット!E35</f>
        <v>0</v>
      </c>
      <c r="R35" s="3"/>
      <c r="S35" s="3"/>
      <c r="T35" s="4">
        <v>0</v>
      </c>
      <c r="U35" s="4"/>
      <c r="V35" s="4"/>
      <c r="W35" s="4"/>
      <c r="X35" s="4"/>
      <c r="Y35" s="4" t="s">
        <v>1</v>
      </c>
    </row>
    <row r="36" spans="1:25" x14ac:dyDescent="0.4">
      <c r="A36" s="3">
        <v>2000</v>
      </c>
      <c r="B36" s="3"/>
      <c r="C36" s="3"/>
      <c r="D36" s="49">
        <f>クレジット!A36</f>
        <v>0</v>
      </c>
      <c r="E36" s="6">
        <f>クレジット!B36</f>
        <v>0</v>
      </c>
      <c r="F36" s="3"/>
      <c r="G36" s="3"/>
      <c r="H36" s="6">
        <f>クレジット!C36</f>
        <v>0</v>
      </c>
      <c r="I36" s="50">
        <f>クレジット!D36</f>
        <v>0</v>
      </c>
      <c r="J36" s="3"/>
      <c r="K36" s="4" t="s">
        <v>68</v>
      </c>
      <c r="L36" s="3"/>
      <c r="M36" s="3"/>
      <c r="N36" s="4" t="s">
        <v>0</v>
      </c>
      <c r="O36" s="51">
        <f t="shared" si="0"/>
        <v>0</v>
      </c>
      <c r="P36" s="3"/>
      <c r="Q36" s="5">
        <f>クレジット!E36</f>
        <v>0</v>
      </c>
      <c r="R36" s="3"/>
      <c r="S36" s="3"/>
      <c r="T36" s="4">
        <v>0</v>
      </c>
      <c r="U36" s="4"/>
      <c r="V36" s="4"/>
      <c r="W36" s="4"/>
      <c r="X36" s="4"/>
      <c r="Y36" s="4" t="s">
        <v>1</v>
      </c>
    </row>
    <row r="37" spans="1:25" x14ac:dyDescent="0.4">
      <c r="A37" s="3">
        <v>2000</v>
      </c>
      <c r="B37" s="3"/>
      <c r="C37" s="3"/>
      <c r="D37" s="49">
        <f>クレジット!A37</f>
        <v>0</v>
      </c>
      <c r="E37" s="6">
        <f>クレジット!B37</f>
        <v>0</v>
      </c>
      <c r="F37" s="3"/>
      <c r="G37" s="3"/>
      <c r="H37" s="6">
        <f>クレジット!C37</f>
        <v>0</v>
      </c>
      <c r="I37" s="50">
        <f>クレジット!D37</f>
        <v>0</v>
      </c>
      <c r="J37" s="3"/>
      <c r="K37" s="4" t="s">
        <v>68</v>
      </c>
      <c r="L37" s="3"/>
      <c r="M37" s="3"/>
      <c r="N37" s="4" t="s">
        <v>0</v>
      </c>
      <c r="O37" s="51">
        <f t="shared" si="0"/>
        <v>0</v>
      </c>
      <c r="P37" s="3"/>
      <c r="Q37" s="5">
        <f>クレジット!E37</f>
        <v>0</v>
      </c>
      <c r="R37" s="3"/>
      <c r="S37" s="3"/>
      <c r="T37" s="4">
        <v>0</v>
      </c>
      <c r="U37" s="4"/>
      <c r="V37" s="4"/>
      <c r="W37" s="4"/>
      <c r="X37" s="4"/>
      <c r="Y37" s="4" t="s">
        <v>1</v>
      </c>
    </row>
    <row r="38" spans="1:25" x14ac:dyDescent="0.4">
      <c r="A38" s="3">
        <v>2000</v>
      </c>
      <c r="B38" s="3"/>
      <c r="C38" s="3"/>
      <c r="D38" s="49">
        <f>クレジット!A38</f>
        <v>0</v>
      </c>
      <c r="E38" s="6">
        <f>クレジット!B38</f>
        <v>0</v>
      </c>
      <c r="F38" s="3"/>
      <c r="G38" s="3"/>
      <c r="H38" s="6">
        <f>クレジット!C38</f>
        <v>0</v>
      </c>
      <c r="I38" s="50">
        <f>クレジット!D38</f>
        <v>0</v>
      </c>
      <c r="J38" s="3"/>
      <c r="K38" s="4" t="s">
        <v>68</v>
      </c>
      <c r="L38" s="3"/>
      <c r="M38" s="3"/>
      <c r="N38" s="4" t="s">
        <v>0</v>
      </c>
      <c r="O38" s="51">
        <f t="shared" si="0"/>
        <v>0</v>
      </c>
      <c r="P38" s="3"/>
      <c r="Q38" s="5">
        <f>クレジット!E38</f>
        <v>0</v>
      </c>
      <c r="R38" s="3"/>
      <c r="S38" s="3"/>
      <c r="T38" s="4">
        <v>0</v>
      </c>
      <c r="U38" s="4"/>
      <c r="V38" s="4"/>
      <c r="W38" s="4"/>
      <c r="X38" s="4"/>
      <c r="Y38" s="4" t="s">
        <v>1</v>
      </c>
    </row>
    <row r="39" spans="1:25" x14ac:dyDescent="0.4">
      <c r="A39" s="3">
        <v>2000</v>
      </c>
      <c r="B39" s="3"/>
      <c r="C39" s="3"/>
      <c r="D39" s="49">
        <f>クレジット!A39</f>
        <v>0</v>
      </c>
      <c r="E39" s="6">
        <f>クレジット!B39</f>
        <v>0</v>
      </c>
      <c r="F39" s="3"/>
      <c r="G39" s="3"/>
      <c r="H39" s="6">
        <f>クレジット!C39</f>
        <v>0</v>
      </c>
      <c r="I39" s="50">
        <f>クレジット!D39</f>
        <v>0</v>
      </c>
      <c r="J39" s="3"/>
      <c r="K39" s="4" t="s">
        <v>68</v>
      </c>
      <c r="L39" s="3"/>
      <c r="M39" s="3"/>
      <c r="N39" s="4" t="s">
        <v>0</v>
      </c>
      <c r="O39" s="51">
        <f t="shared" si="0"/>
        <v>0</v>
      </c>
      <c r="P39" s="3"/>
      <c r="Q39" s="5">
        <f>クレジット!E39</f>
        <v>0</v>
      </c>
      <c r="R39" s="3"/>
      <c r="S39" s="3"/>
      <c r="T39" s="4">
        <v>0</v>
      </c>
      <c r="U39" s="4"/>
      <c r="V39" s="4"/>
      <c r="W39" s="4"/>
      <c r="X39" s="4"/>
      <c r="Y39" s="4" t="s">
        <v>1</v>
      </c>
    </row>
    <row r="40" spans="1:25" x14ac:dyDescent="0.4">
      <c r="A40" s="3">
        <v>2000</v>
      </c>
      <c r="B40" s="3"/>
      <c r="C40" s="3"/>
      <c r="D40" s="49">
        <f>クレジット!A40</f>
        <v>0</v>
      </c>
      <c r="E40" s="6">
        <f>クレジット!B40</f>
        <v>0</v>
      </c>
      <c r="F40" s="3"/>
      <c r="G40" s="3"/>
      <c r="H40" s="6">
        <f>クレジット!C40</f>
        <v>0</v>
      </c>
      <c r="I40" s="50">
        <f>クレジット!D40</f>
        <v>0</v>
      </c>
      <c r="J40" s="3"/>
      <c r="K40" s="4" t="s">
        <v>68</v>
      </c>
      <c r="L40" s="3"/>
      <c r="M40" s="3"/>
      <c r="N40" s="4" t="s">
        <v>0</v>
      </c>
      <c r="O40" s="51">
        <f t="shared" si="0"/>
        <v>0</v>
      </c>
      <c r="P40" s="3"/>
      <c r="Q40" s="5">
        <f>クレジット!E40</f>
        <v>0</v>
      </c>
      <c r="R40" s="3"/>
      <c r="S40" s="3"/>
      <c r="T40" s="4">
        <v>0</v>
      </c>
      <c r="U40" s="4"/>
      <c r="V40" s="4"/>
      <c r="W40" s="4"/>
      <c r="X40" s="4"/>
      <c r="Y40" s="4" t="s">
        <v>1</v>
      </c>
    </row>
    <row r="41" spans="1:25" x14ac:dyDescent="0.4">
      <c r="A41" s="3">
        <v>2000</v>
      </c>
      <c r="B41" s="3"/>
      <c r="C41" s="3"/>
      <c r="D41" s="49">
        <f>クレジット!A41</f>
        <v>0</v>
      </c>
      <c r="E41" s="6">
        <f>クレジット!B41</f>
        <v>0</v>
      </c>
      <c r="F41" s="3"/>
      <c r="G41" s="3"/>
      <c r="H41" s="6">
        <f>クレジット!C41</f>
        <v>0</v>
      </c>
      <c r="I41" s="50">
        <f>クレジット!D41</f>
        <v>0</v>
      </c>
      <c r="J41" s="3"/>
      <c r="K41" s="4" t="s">
        <v>68</v>
      </c>
      <c r="L41" s="3"/>
      <c r="M41" s="3"/>
      <c r="N41" s="4" t="s">
        <v>0</v>
      </c>
      <c r="O41" s="51">
        <f t="shared" si="0"/>
        <v>0</v>
      </c>
      <c r="P41" s="3"/>
      <c r="Q41" s="5">
        <f>クレジット!E41</f>
        <v>0</v>
      </c>
      <c r="R41" s="3"/>
      <c r="S41" s="3"/>
      <c r="T41" s="4">
        <v>0</v>
      </c>
      <c r="U41" s="4"/>
      <c r="V41" s="4"/>
      <c r="W41" s="4"/>
      <c r="X41" s="4"/>
      <c r="Y41" s="4" t="s">
        <v>1</v>
      </c>
    </row>
    <row r="42" spans="1:25" x14ac:dyDescent="0.4">
      <c r="A42" s="3">
        <v>2000</v>
      </c>
      <c r="B42" s="3"/>
      <c r="C42" s="3"/>
      <c r="D42" s="49">
        <f>クレジット!A42</f>
        <v>0</v>
      </c>
      <c r="E42" s="6">
        <f>クレジット!B42</f>
        <v>0</v>
      </c>
      <c r="F42" s="3"/>
      <c r="G42" s="3"/>
      <c r="H42" s="6">
        <f>クレジット!C42</f>
        <v>0</v>
      </c>
      <c r="I42" s="50">
        <f>クレジット!D42</f>
        <v>0</v>
      </c>
      <c r="J42" s="3"/>
      <c r="K42" s="4" t="s">
        <v>68</v>
      </c>
      <c r="L42" s="3"/>
      <c r="M42" s="3"/>
      <c r="N42" s="4" t="s">
        <v>0</v>
      </c>
      <c r="O42" s="51">
        <f t="shared" si="0"/>
        <v>0</v>
      </c>
      <c r="P42" s="3"/>
      <c r="Q42" s="5">
        <f>クレジット!E42</f>
        <v>0</v>
      </c>
      <c r="R42" s="3"/>
      <c r="S42" s="3"/>
      <c r="T42" s="4">
        <v>0</v>
      </c>
      <c r="U42" s="4"/>
      <c r="V42" s="4"/>
      <c r="W42" s="4"/>
      <c r="X42" s="4"/>
      <c r="Y42" s="4" t="s">
        <v>1</v>
      </c>
    </row>
    <row r="43" spans="1:25" x14ac:dyDescent="0.4">
      <c r="A43" s="3">
        <v>2000</v>
      </c>
      <c r="B43" s="3"/>
      <c r="C43" s="3"/>
      <c r="D43" s="49">
        <f>クレジット!A43</f>
        <v>0</v>
      </c>
      <c r="E43" s="6">
        <f>クレジット!B43</f>
        <v>0</v>
      </c>
      <c r="F43" s="3"/>
      <c r="G43" s="3"/>
      <c r="H43" s="6">
        <f>クレジット!C43</f>
        <v>0</v>
      </c>
      <c r="I43" s="50">
        <f>クレジット!D43</f>
        <v>0</v>
      </c>
      <c r="J43" s="3"/>
      <c r="K43" s="4" t="s">
        <v>68</v>
      </c>
      <c r="L43" s="3"/>
      <c r="M43" s="3"/>
      <c r="N43" s="4" t="s">
        <v>0</v>
      </c>
      <c r="O43" s="51">
        <f t="shared" si="0"/>
        <v>0</v>
      </c>
      <c r="P43" s="3"/>
      <c r="Q43" s="5">
        <f>クレジット!E43</f>
        <v>0</v>
      </c>
      <c r="R43" s="3"/>
      <c r="S43" s="3"/>
      <c r="T43" s="4">
        <v>0</v>
      </c>
      <c r="U43" s="4"/>
      <c r="V43" s="4"/>
      <c r="W43" s="4"/>
      <c r="X43" s="4"/>
      <c r="Y43" s="4" t="s">
        <v>1</v>
      </c>
    </row>
    <row r="44" spans="1:25" x14ac:dyDescent="0.4">
      <c r="A44" s="3">
        <v>2000</v>
      </c>
      <c r="B44" s="3"/>
      <c r="C44" s="3"/>
      <c r="D44" s="49">
        <f>クレジット!A44</f>
        <v>0</v>
      </c>
      <c r="E44" s="6">
        <f>クレジット!B44</f>
        <v>0</v>
      </c>
      <c r="F44" s="3"/>
      <c r="G44" s="3"/>
      <c r="H44" s="6">
        <f>クレジット!C44</f>
        <v>0</v>
      </c>
      <c r="I44" s="50">
        <f>クレジット!D44</f>
        <v>0</v>
      </c>
      <c r="J44" s="3"/>
      <c r="K44" s="4" t="s">
        <v>68</v>
      </c>
      <c r="L44" s="3"/>
      <c r="M44" s="3"/>
      <c r="N44" s="4" t="s">
        <v>0</v>
      </c>
      <c r="O44" s="51">
        <f t="shared" si="0"/>
        <v>0</v>
      </c>
      <c r="P44" s="3"/>
      <c r="Q44" s="5">
        <f>クレジット!E44</f>
        <v>0</v>
      </c>
      <c r="R44" s="3"/>
      <c r="S44" s="3"/>
      <c r="T44" s="4">
        <v>0</v>
      </c>
      <c r="U44" s="4"/>
      <c r="V44" s="4"/>
      <c r="W44" s="4"/>
      <c r="X44" s="4"/>
      <c r="Y44" s="4" t="s">
        <v>1</v>
      </c>
    </row>
    <row r="45" spans="1:25" x14ac:dyDescent="0.4">
      <c r="A45" s="3">
        <v>2000</v>
      </c>
      <c r="B45" s="3"/>
      <c r="C45" s="3"/>
      <c r="D45" s="49">
        <f>クレジット!A45</f>
        <v>0</v>
      </c>
      <c r="E45" s="6">
        <f>クレジット!B45</f>
        <v>0</v>
      </c>
      <c r="F45" s="3"/>
      <c r="G45" s="3"/>
      <c r="H45" s="6">
        <f>クレジット!C45</f>
        <v>0</v>
      </c>
      <c r="I45" s="50">
        <f>クレジット!D45</f>
        <v>0</v>
      </c>
      <c r="J45" s="3"/>
      <c r="K45" s="4" t="s">
        <v>68</v>
      </c>
      <c r="L45" s="3"/>
      <c r="M45" s="3"/>
      <c r="N45" s="4" t="s">
        <v>0</v>
      </c>
      <c r="O45" s="51">
        <f t="shared" si="0"/>
        <v>0</v>
      </c>
      <c r="P45" s="3"/>
      <c r="Q45" s="5">
        <f>クレジット!E45</f>
        <v>0</v>
      </c>
      <c r="R45" s="3"/>
      <c r="S45" s="3"/>
      <c r="T45" s="4">
        <v>0</v>
      </c>
      <c r="U45" s="4"/>
      <c r="V45" s="4"/>
      <c r="W45" s="4"/>
      <c r="X45" s="4"/>
      <c r="Y45" s="4" t="s">
        <v>1</v>
      </c>
    </row>
    <row r="46" spans="1:25" x14ac:dyDescent="0.4">
      <c r="A46" s="3">
        <v>2000</v>
      </c>
      <c r="B46" s="3"/>
      <c r="C46" s="3"/>
      <c r="D46" s="49">
        <f>クレジット!A46</f>
        <v>0</v>
      </c>
      <c r="E46" s="6">
        <f>クレジット!B46</f>
        <v>0</v>
      </c>
      <c r="F46" s="3"/>
      <c r="G46" s="3"/>
      <c r="H46" s="6">
        <f>クレジット!C46</f>
        <v>0</v>
      </c>
      <c r="I46" s="50">
        <f>クレジット!D46</f>
        <v>0</v>
      </c>
      <c r="J46" s="3"/>
      <c r="K46" s="4" t="s">
        <v>68</v>
      </c>
      <c r="L46" s="3"/>
      <c r="M46" s="3"/>
      <c r="N46" s="4" t="s">
        <v>0</v>
      </c>
      <c r="O46" s="51">
        <f t="shared" si="0"/>
        <v>0</v>
      </c>
      <c r="P46" s="3"/>
      <c r="Q46" s="5">
        <f>クレジット!E46</f>
        <v>0</v>
      </c>
      <c r="R46" s="3"/>
      <c r="S46" s="3"/>
      <c r="T46" s="4">
        <v>0</v>
      </c>
      <c r="U46" s="4"/>
      <c r="V46" s="4"/>
      <c r="W46" s="4"/>
      <c r="X46" s="4"/>
      <c r="Y46" s="4" t="s">
        <v>1</v>
      </c>
    </row>
    <row r="47" spans="1:25" x14ac:dyDescent="0.4">
      <c r="A47" s="3">
        <v>2000</v>
      </c>
      <c r="B47" s="3"/>
      <c r="C47" s="3"/>
      <c r="D47" s="49">
        <f>クレジット!A47</f>
        <v>0</v>
      </c>
      <c r="E47" s="6">
        <f>クレジット!B47</f>
        <v>0</v>
      </c>
      <c r="F47" s="3"/>
      <c r="G47" s="3"/>
      <c r="H47" s="6">
        <f>クレジット!C47</f>
        <v>0</v>
      </c>
      <c r="I47" s="50">
        <f>クレジット!D47</f>
        <v>0</v>
      </c>
      <c r="J47" s="3"/>
      <c r="K47" s="4" t="s">
        <v>68</v>
      </c>
      <c r="L47" s="3"/>
      <c r="M47" s="3"/>
      <c r="N47" s="4" t="s">
        <v>0</v>
      </c>
      <c r="O47" s="51">
        <f t="shared" si="0"/>
        <v>0</v>
      </c>
      <c r="P47" s="3"/>
      <c r="Q47" s="5">
        <f>クレジット!E47</f>
        <v>0</v>
      </c>
      <c r="R47" s="3"/>
      <c r="S47" s="3"/>
      <c r="T47" s="4">
        <v>0</v>
      </c>
      <c r="U47" s="4"/>
      <c r="V47" s="4"/>
      <c r="W47" s="4"/>
      <c r="X47" s="4"/>
      <c r="Y47" s="4" t="s">
        <v>1</v>
      </c>
    </row>
    <row r="48" spans="1:25" x14ac:dyDescent="0.4">
      <c r="A48" s="3">
        <v>2000</v>
      </c>
      <c r="B48" s="3"/>
      <c r="C48" s="3"/>
      <c r="D48" s="49">
        <f>クレジット!A48</f>
        <v>0</v>
      </c>
      <c r="E48" s="6">
        <f>クレジット!B48</f>
        <v>0</v>
      </c>
      <c r="F48" s="3"/>
      <c r="G48" s="3"/>
      <c r="H48" s="6">
        <f>クレジット!C48</f>
        <v>0</v>
      </c>
      <c r="I48" s="50">
        <f>クレジット!D48</f>
        <v>0</v>
      </c>
      <c r="J48" s="3"/>
      <c r="K48" s="4" t="s">
        <v>68</v>
      </c>
      <c r="L48" s="3"/>
      <c r="M48" s="3"/>
      <c r="N48" s="4" t="s">
        <v>0</v>
      </c>
      <c r="O48" s="51">
        <f t="shared" si="0"/>
        <v>0</v>
      </c>
      <c r="P48" s="3"/>
      <c r="Q48" s="5">
        <f>クレジット!E48</f>
        <v>0</v>
      </c>
      <c r="R48" s="3"/>
      <c r="S48" s="3"/>
      <c r="T48" s="4">
        <v>0</v>
      </c>
      <c r="U48" s="4"/>
      <c r="V48" s="4"/>
      <c r="W48" s="4"/>
      <c r="X48" s="4"/>
      <c r="Y48" s="4" t="s">
        <v>1</v>
      </c>
    </row>
    <row r="49" spans="1:25" x14ac:dyDescent="0.4">
      <c r="A49" s="3">
        <v>2000</v>
      </c>
      <c r="B49" s="3"/>
      <c r="C49" s="3"/>
      <c r="D49" s="49">
        <f>クレジット!A49</f>
        <v>0</v>
      </c>
      <c r="E49" s="6">
        <f>クレジット!B49</f>
        <v>0</v>
      </c>
      <c r="F49" s="3"/>
      <c r="G49" s="3"/>
      <c r="H49" s="6">
        <f>クレジット!C49</f>
        <v>0</v>
      </c>
      <c r="I49" s="50">
        <f>クレジット!D49</f>
        <v>0</v>
      </c>
      <c r="J49" s="3"/>
      <c r="K49" s="4" t="s">
        <v>68</v>
      </c>
      <c r="L49" s="3"/>
      <c r="M49" s="3"/>
      <c r="N49" s="4" t="s">
        <v>0</v>
      </c>
      <c r="O49" s="51">
        <f t="shared" si="0"/>
        <v>0</v>
      </c>
      <c r="P49" s="3"/>
      <c r="Q49" s="5">
        <f>クレジット!E49</f>
        <v>0</v>
      </c>
      <c r="R49" s="3"/>
      <c r="S49" s="3"/>
      <c r="T49" s="4">
        <v>0</v>
      </c>
      <c r="U49" s="4"/>
      <c r="V49" s="4"/>
      <c r="W49" s="4"/>
      <c r="X49" s="4"/>
      <c r="Y49" s="4" t="s">
        <v>1</v>
      </c>
    </row>
    <row r="50" spans="1:25" x14ac:dyDescent="0.4">
      <c r="A50" s="3">
        <v>2000</v>
      </c>
      <c r="B50" s="3"/>
      <c r="C50" s="3"/>
      <c r="D50" s="49">
        <f>クレジット!A50</f>
        <v>0</v>
      </c>
      <c r="E50" s="6">
        <f>クレジット!B50</f>
        <v>0</v>
      </c>
      <c r="F50" s="3"/>
      <c r="G50" s="3"/>
      <c r="H50" s="6">
        <f>クレジット!C50</f>
        <v>0</v>
      </c>
      <c r="I50" s="50">
        <f>クレジット!D50</f>
        <v>0</v>
      </c>
      <c r="J50" s="3"/>
      <c r="K50" s="4" t="s">
        <v>68</v>
      </c>
      <c r="L50" s="3"/>
      <c r="M50" s="3"/>
      <c r="N50" s="4" t="s">
        <v>0</v>
      </c>
      <c r="O50" s="51">
        <f t="shared" si="0"/>
        <v>0</v>
      </c>
      <c r="P50" s="3"/>
      <c r="Q50" s="5">
        <f>クレジット!E50</f>
        <v>0</v>
      </c>
      <c r="R50" s="3"/>
      <c r="S50" s="3"/>
      <c r="T50" s="4">
        <v>0</v>
      </c>
      <c r="U50" s="4"/>
      <c r="V50" s="4"/>
      <c r="W50" s="4"/>
      <c r="X50" s="4"/>
      <c r="Y50" s="4" t="s">
        <v>1</v>
      </c>
    </row>
    <row r="51" spans="1:25" x14ac:dyDescent="0.4">
      <c r="A51" s="3">
        <v>2000</v>
      </c>
      <c r="B51" s="3"/>
      <c r="C51" s="3"/>
      <c r="D51" s="49">
        <f>クレジット!A51</f>
        <v>0</v>
      </c>
      <c r="E51" s="6">
        <f>クレジット!B51</f>
        <v>0</v>
      </c>
      <c r="F51" s="3"/>
      <c r="G51" s="3"/>
      <c r="H51" s="6">
        <f>クレジット!C51</f>
        <v>0</v>
      </c>
      <c r="I51" s="50">
        <f>クレジット!D51</f>
        <v>0</v>
      </c>
      <c r="J51" s="3"/>
      <c r="K51" s="4" t="s">
        <v>68</v>
      </c>
      <c r="L51" s="3"/>
      <c r="M51" s="3"/>
      <c r="N51" s="4" t="s">
        <v>0</v>
      </c>
      <c r="O51" s="51">
        <f t="shared" si="0"/>
        <v>0</v>
      </c>
      <c r="P51" s="3"/>
      <c r="Q51" s="5">
        <f>クレジット!E51</f>
        <v>0</v>
      </c>
      <c r="R51" s="3"/>
      <c r="S51" s="3"/>
      <c r="T51" s="4">
        <v>0</v>
      </c>
      <c r="U51" s="4"/>
      <c r="V51" s="4"/>
      <c r="W51" s="4"/>
      <c r="X51" s="4"/>
      <c r="Y51" s="4" t="s">
        <v>1</v>
      </c>
    </row>
    <row r="52" spans="1:25" x14ac:dyDescent="0.4">
      <c r="A52" s="3">
        <v>2000</v>
      </c>
      <c r="B52" s="3"/>
      <c r="C52" s="3"/>
      <c r="D52" s="49">
        <f>クレジット!A52</f>
        <v>0</v>
      </c>
      <c r="E52" s="6">
        <f>クレジット!B52</f>
        <v>0</v>
      </c>
      <c r="F52" s="3"/>
      <c r="G52" s="3"/>
      <c r="H52" s="6">
        <f>クレジット!C52</f>
        <v>0</v>
      </c>
      <c r="I52" s="50">
        <f>クレジット!D52</f>
        <v>0</v>
      </c>
      <c r="J52" s="3"/>
      <c r="K52" s="4" t="s">
        <v>68</v>
      </c>
      <c r="L52" s="3"/>
      <c r="M52" s="3"/>
      <c r="N52" s="4" t="s">
        <v>0</v>
      </c>
      <c r="O52" s="51">
        <f t="shared" si="0"/>
        <v>0</v>
      </c>
      <c r="P52" s="3"/>
      <c r="Q52" s="5">
        <f>クレジット!E52</f>
        <v>0</v>
      </c>
      <c r="R52" s="3"/>
      <c r="S52" s="3"/>
      <c r="T52" s="4">
        <v>0</v>
      </c>
      <c r="U52" s="4"/>
      <c r="V52" s="4"/>
      <c r="W52" s="4"/>
      <c r="X52" s="4"/>
      <c r="Y52" s="4" t="s">
        <v>1</v>
      </c>
    </row>
    <row r="53" spans="1:25" x14ac:dyDescent="0.4">
      <c r="A53" s="3">
        <v>2000</v>
      </c>
      <c r="B53" s="3"/>
      <c r="C53" s="3"/>
      <c r="D53" s="49">
        <f>クレジット!A53</f>
        <v>0</v>
      </c>
      <c r="E53" s="6">
        <f>クレジット!B53</f>
        <v>0</v>
      </c>
      <c r="F53" s="3"/>
      <c r="G53" s="3"/>
      <c r="H53" s="6">
        <f>クレジット!C53</f>
        <v>0</v>
      </c>
      <c r="I53" s="50">
        <f>クレジット!D53</f>
        <v>0</v>
      </c>
      <c r="J53" s="3"/>
      <c r="K53" s="4" t="s">
        <v>68</v>
      </c>
      <c r="L53" s="3"/>
      <c r="M53" s="3"/>
      <c r="N53" s="4" t="s">
        <v>0</v>
      </c>
      <c r="O53" s="51">
        <f t="shared" si="0"/>
        <v>0</v>
      </c>
      <c r="P53" s="3"/>
      <c r="Q53" s="5">
        <f>クレジット!E53</f>
        <v>0</v>
      </c>
      <c r="R53" s="3"/>
      <c r="S53" s="3"/>
      <c r="T53" s="4">
        <v>0</v>
      </c>
      <c r="U53" s="4"/>
      <c r="V53" s="4"/>
      <c r="W53" s="4"/>
      <c r="X53" s="4"/>
      <c r="Y53" s="4" t="s">
        <v>1</v>
      </c>
    </row>
    <row r="54" spans="1:25" x14ac:dyDescent="0.4">
      <c r="A54" s="3">
        <v>2000</v>
      </c>
      <c r="B54" s="3"/>
      <c r="C54" s="3"/>
      <c r="D54" s="49">
        <f>クレジット!A54</f>
        <v>0</v>
      </c>
      <c r="E54" s="6">
        <f>クレジット!B54</f>
        <v>0</v>
      </c>
      <c r="F54" s="3"/>
      <c r="G54" s="3"/>
      <c r="H54" s="6">
        <f>クレジット!C54</f>
        <v>0</v>
      </c>
      <c r="I54" s="50">
        <f>クレジット!D54</f>
        <v>0</v>
      </c>
      <c r="J54" s="3"/>
      <c r="K54" s="4" t="s">
        <v>68</v>
      </c>
      <c r="L54" s="3"/>
      <c r="M54" s="3"/>
      <c r="N54" s="4" t="s">
        <v>0</v>
      </c>
      <c r="O54" s="51">
        <f t="shared" si="0"/>
        <v>0</v>
      </c>
      <c r="P54" s="3"/>
      <c r="Q54" s="5">
        <f>クレジット!E54</f>
        <v>0</v>
      </c>
      <c r="R54" s="3"/>
      <c r="S54" s="3"/>
      <c r="T54" s="4">
        <v>0</v>
      </c>
      <c r="U54" s="4"/>
      <c r="V54" s="4"/>
      <c r="W54" s="4"/>
      <c r="X54" s="4"/>
      <c r="Y54" s="4" t="s">
        <v>1</v>
      </c>
    </row>
    <row r="55" spans="1:25" x14ac:dyDescent="0.4">
      <c r="A55" s="3">
        <v>2000</v>
      </c>
      <c r="B55" s="3"/>
      <c r="C55" s="3"/>
      <c r="D55" s="49">
        <f>クレジット!A55</f>
        <v>0</v>
      </c>
      <c r="E55" s="6">
        <f>クレジット!B55</f>
        <v>0</v>
      </c>
      <c r="F55" s="3"/>
      <c r="G55" s="3"/>
      <c r="H55" s="6">
        <f>クレジット!C55</f>
        <v>0</v>
      </c>
      <c r="I55" s="50">
        <f>クレジット!D55</f>
        <v>0</v>
      </c>
      <c r="J55" s="3"/>
      <c r="K55" s="4" t="s">
        <v>68</v>
      </c>
      <c r="L55" s="3"/>
      <c r="M55" s="3"/>
      <c r="N55" s="4" t="s">
        <v>0</v>
      </c>
      <c r="O55" s="51">
        <f t="shared" si="0"/>
        <v>0</v>
      </c>
      <c r="P55" s="3"/>
      <c r="Q55" s="5">
        <f>クレジット!E55</f>
        <v>0</v>
      </c>
      <c r="R55" s="3"/>
      <c r="S55" s="3"/>
      <c r="T55" s="4">
        <v>0</v>
      </c>
      <c r="U55" s="4"/>
      <c r="V55" s="4"/>
      <c r="W55" s="4"/>
      <c r="X55" s="4"/>
      <c r="Y55" s="4" t="s">
        <v>1</v>
      </c>
    </row>
    <row r="56" spans="1:25" x14ac:dyDescent="0.4">
      <c r="A56" s="3">
        <v>2000</v>
      </c>
      <c r="B56" s="3"/>
      <c r="C56" s="3"/>
      <c r="D56" s="49">
        <f>クレジット!A56</f>
        <v>0</v>
      </c>
      <c r="E56" s="6">
        <f>クレジット!B56</f>
        <v>0</v>
      </c>
      <c r="F56" s="3"/>
      <c r="G56" s="3"/>
      <c r="H56" s="6">
        <f>クレジット!C56</f>
        <v>0</v>
      </c>
      <c r="I56" s="50">
        <f>クレジット!D56</f>
        <v>0</v>
      </c>
      <c r="J56" s="3"/>
      <c r="K56" s="4" t="s">
        <v>68</v>
      </c>
      <c r="L56" s="3"/>
      <c r="M56" s="3"/>
      <c r="N56" s="4" t="s">
        <v>0</v>
      </c>
      <c r="O56" s="51">
        <f t="shared" si="0"/>
        <v>0</v>
      </c>
      <c r="P56" s="3"/>
      <c r="Q56" s="5">
        <f>クレジット!E56</f>
        <v>0</v>
      </c>
      <c r="R56" s="3"/>
      <c r="S56" s="3"/>
      <c r="T56" s="4">
        <v>0</v>
      </c>
      <c r="U56" s="4"/>
      <c r="V56" s="4"/>
      <c r="W56" s="4"/>
      <c r="X56" s="4"/>
      <c r="Y56" s="4" t="s">
        <v>1</v>
      </c>
    </row>
    <row r="57" spans="1:25" x14ac:dyDescent="0.4">
      <c r="A57" s="52" t="s">
        <v>24</v>
      </c>
      <c r="B57" s="1"/>
      <c r="C57" s="1"/>
      <c r="D57" s="52"/>
      <c r="E57" s="52"/>
      <c r="F57" s="1"/>
      <c r="G57" s="1"/>
      <c r="H57" s="6"/>
      <c r="I57" s="53">
        <f>SUM(I3:I56)</f>
        <v>0</v>
      </c>
      <c r="J57" s="53"/>
      <c r="K57" s="53"/>
      <c r="L57" s="53"/>
      <c r="M57" s="53"/>
      <c r="N57" s="54"/>
      <c r="O57" s="53">
        <f t="shared" ref="O57" si="1">SUM(O3:O56)</f>
        <v>0</v>
      </c>
      <c r="P57" s="1"/>
      <c r="Q57" s="1"/>
      <c r="R57" s="1"/>
      <c r="S57" s="1"/>
      <c r="T57" s="52"/>
      <c r="U57" s="52"/>
      <c r="V57" s="52"/>
      <c r="W57" s="52"/>
      <c r="X57" s="52"/>
      <c r="Y57" s="52"/>
    </row>
  </sheetData>
  <sheetProtection algorithmName="SHA-512" hashValue="Xx58/swQ9YyvKLVJwP7MheUeOc+voz5ODakIUZqjeKOIFrhjs9/RmwRlRjFXBwQClOTAAvBxqPYO12NQpjvQRA==" saltValue="tcpD1kDn3SOhH9RAZQXCPg==" spinCount="100000" sheet="1" objects="1" scenarios="1" selectLockedCells="1" selectUnlockedCells="1"/>
  <phoneticPr fontId="18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F8A12-FA5D-4729-A671-73734340B916}">
  <dimension ref="A1"/>
  <sheetViews>
    <sheetView workbookViewId="0"/>
  </sheetViews>
  <sheetFormatPr defaultRowHeight="18.75" x14ac:dyDescent="0.4"/>
  <sheetData/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クレジット</vt:lpstr>
      <vt:lpstr>CSV</vt:lpstr>
      <vt:lpstr>Sheet1</vt:lpstr>
      <vt:lpstr>CSV!Print_Area</vt:lpstr>
      <vt:lpstr>クレジット!Print_Area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caramail</dc:creator>
  <cp:lastModifiedBy>se watanabe</cp:lastModifiedBy>
  <cp:lastPrinted>2026-09-08T01:39:24Z</cp:lastPrinted>
  <dcterms:created xsi:type="dcterms:W3CDTF">2020-11-13T01:52:18Z</dcterms:created>
  <dcterms:modified xsi:type="dcterms:W3CDTF">2026-09-09T05:00:35Z</dcterms:modified>
</cp:coreProperties>
</file>