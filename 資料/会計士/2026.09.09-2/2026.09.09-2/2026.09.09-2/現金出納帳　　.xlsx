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tanabe\②顧問先別資料\06月　㈱コムテックエンタープライズ\送信用\2026.09.09-2\"/>
    </mc:Choice>
  </mc:AlternateContent>
  <xr:revisionPtr revIDLastSave="0" documentId="13_ncr:1_{DA13F8AA-D17D-4237-A212-BCE4D82A0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現金帳" sheetId="2" r:id="rId1"/>
    <sheet name="CSV" sheetId="1" r:id="rId2"/>
    <sheet name="Sheet1" sheetId="3" r:id="rId3"/>
  </sheets>
  <definedNames>
    <definedName name="_xlnm.Print_Area" localSheetId="1">CSV!$A$1:$C$1</definedName>
    <definedName name="_xlnm.Print_Area" localSheetId="0">現金帳!$A$1:$H$45</definedName>
    <definedName name="_xlnm.Print_Titles" localSheetId="0">現金帳!$1:$3</definedName>
  </definedNames>
  <calcPr calcId="191029"/>
</workbook>
</file>

<file path=xl/calcChain.xml><?xml version="1.0" encoding="utf-8"?>
<calcChain xmlns="http://schemas.openxmlformats.org/spreadsheetml/2006/main">
  <c r="E31" i="1" l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O17" i="1"/>
  <c r="O32" i="1"/>
  <c r="O35" i="1"/>
  <c r="O36" i="1"/>
  <c r="O39" i="1"/>
  <c r="O40" i="1"/>
  <c r="O43" i="1"/>
  <c r="I6" i="1"/>
  <c r="O6" i="1" s="1"/>
  <c r="I7" i="1"/>
  <c r="O7" i="1" s="1"/>
  <c r="I8" i="1"/>
  <c r="O8" i="1" s="1"/>
  <c r="I9" i="1"/>
  <c r="O9" i="1" s="1"/>
  <c r="I10" i="1"/>
  <c r="O10" i="1" s="1"/>
  <c r="I11" i="1"/>
  <c r="O11" i="1" s="1"/>
  <c r="I12" i="1"/>
  <c r="O12" i="1" s="1"/>
  <c r="I13" i="1"/>
  <c r="O13" i="1" s="1"/>
  <c r="I14" i="1"/>
  <c r="O14" i="1" s="1"/>
  <c r="I15" i="1"/>
  <c r="O15" i="1" s="1"/>
  <c r="I16" i="1"/>
  <c r="O16" i="1" s="1"/>
  <c r="I17" i="1"/>
  <c r="I18" i="1"/>
  <c r="O18" i="1" s="1"/>
  <c r="I19" i="1"/>
  <c r="O19" i="1" s="1"/>
  <c r="I20" i="1"/>
  <c r="O20" i="1" s="1"/>
  <c r="I21" i="1"/>
  <c r="O21" i="1" s="1"/>
  <c r="I22" i="1"/>
  <c r="O22" i="1" s="1"/>
  <c r="I23" i="1"/>
  <c r="O23" i="1" s="1"/>
  <c r="I24" i="1"/>
  <c r="O24" i="1" s="1"/>
  <c r="I25" i="1"/>
  <c r="O25" i="1" s="1"/>
  <c r="I26" i="1"/>
  <c r="O26" i="1" s="1"/>
  <c r="I27" i="1"/>
  <c r="O27" i="1" s="1"/>
  <c r="I28" i="1"/>
  <c r="O28" i="1" s="1"/>
  <c r="I29" i="1"/>
  <c r="O29" i="1" s="1"/>
  <c r="I30" i="1"/>
  <c r="O30" i="1" s="1"/>
  <c r="I31" i="1"/>
  <c r="O31" i="1" s="1"/>
  <c r="I32" i="1"/>
  <c r="I33" i="1"/>
  <c r="O33" i="1" s="1"/>
  <c r="I34" i="1"/>
  <c r="O34" i="1" s="1"/>
  <c r="I35" i="1"/>
  <c r="I36" i="1"/>
  <c r="I37" i="1"/>
  <c r="O37" i="1" s="1"/>
  <c r="I38" i="1"/>
  <c r="O38" i="1" s="1"/>
  <c r="I39" i="1"/>
  <c r="I40" i="1"/>
  <c r="I41" i="1"/>
  <c r="O41" i="1" s="1"/>
  <c r="I42" i="1"/>
  <c r="O42" i="1" s="1"/>
  <c r="I43" i="1"/>
  <c r="I44" i="1"/>
  <c r="O44" i="1" s="1"/>
  <c r="I5" i="1"/>
  <c r="O5" i="1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Q5" i="1"/>
  <c r="O45" i="1" l="1"/>
  <c r="C1" i="1"/>
  <c r="G45" i="2" l="1"/>
  <c r="F45" i="2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D5" i="1"/>
  <c r="I45" i="1"/>
  <c r="A1" i="1"/>
  <c r="H45" i="2" l="1"/>
</calcChain>
</file>

<file path=xl/sharedStrings.xml><?xml version="1.0" encoding="utf-8"?>
<sst xmlns="http://schemas.openxmlformats.org/spreadsheetml/2006/main" count="237" uniqueCount="77">
  <si>
    <t>対象外</t>
  </si>
  <si>
    <t>no</t>
  </si>
  <si>
    <t>日付</t>
  </si>
  <si>
    <t>勘定科目</t>
  </si>
  <si>
    <t>消費税区分</t>
  </si>
  <si>
    <t>金額</t>
  </si>
  <si>
    <t>摘要</t>
    <rPh sb="0" eb="2">
      <t>テキヨウ</t>
    </rPh>
    <phoneticPr fontId="18"/>
  </si>
  <si>
    <t>日付</t>
    <rPh sb="0" eb="2">
      <t>ヒヅケ</t>
    </rPh>
    <phoneticPr fontId="18"/>
  </si>
  <si>
    <t>現金</t>
    <rPh sb="0" eb="2">
      <t>ゲンキン</t>
    </rPh>
    <phoneticPr fontId="18"/>
  </si>
  <si>
    <t>摘要（支払先/支払内容）</t>
    <rPh sb="0" eb="2">
      <t>テキヨウ</t>
    </rPh>
    <rPh sb="3" eb="6">
      <t>シハライサキ</t>
    </rPh>
    <rPh sb="7" eb="9">
      <t>シハラ</t>
    </rPh>
    <rPh sb="9" eb="11">
      <t>ナイヨウ</t>
    </rPh>
    <phoneticPr fontId="18"/>
  </si>
  <si>
    <t>収入金額</t>
    <rPh sb="0" eb="2">
      <t>シュウニュウ</t>
    </rPh>
    <rPh sb="2" eb="4">
      <t>キンガク</t>
    </rPh>
    <rPh sb="3" eb="4">
      <t>ガク</t>
    </rPh>
    <phoneticPr fontId="18"/>
  </si>
  <si>
    <t>支出金額</t>
    <rPh sb="0" eb="2">
      <t>シシュツ</t>
    </rPh>
    <rPh sb="2" eb="4">
      <t>キンガク</t>
    </rPh>
    <phoneticPr fontId="18"/>
  </si>
  <si>
    <t>消費税区分</t>
    <rPh sb="0" eb="3">
      <t>ショウヒゼイ</t>
    </rPh>
    <rPh sb="3" eb="5">
      <t>クブン</t>
    </rPh>
    <phoneticPr fontId="18"/>
  </si>
  <si>
    <t>前月繰越金額</t>
    <rPh sb="0" eb="2">
      <t>ゼンゲツ</t>
    </rPh>
    <rPh sb="2" eb="4">
      <t>クリコシ</t>
    </rPh>
    <rPh sb="4" eb="5">
      <t>キン</t>
    </rPh>
    <rPh sb="5" eb="6">
      <t>ガク</t>
    </rPh>
    <phoneticPr fontId="18"/>
  </si>
  <si>
    <t>現金残高</t>
    <rPh sb="0" eb="2">
      <t>ゲンキン</t>
    </rPh>
    <rPh sb="2" eb="4">
      <t>ザンダカ</t>
    </rPh>
    <phoneticPr fontId="18"/>
  </si>
  <si>
    <t>計</t>
    <rPh sb="0" eb="1">
      <t>ケイ</t>
    </rPh>
    <phoneticPr fontId="18"/>
  </si>
  <si>
    <t>入力方法</t>
  </si>
  <si>
    <t>11/4</t>
    <phoneticPr fontId="18"/>
  </si>
  <si>
    <t>仕入高</t>
    <rPh sb="0" eb="2">
      <t>シイレ</t>
    </rPh>
    <rPh sb="2" eb="3">
      <t>ダカ</t>
    </rPh>
    <phoneticPr fontId="18"/>
  </si>
  <si>
    <t>　仕入10％</t>
  </si>
  <si>
    <t>11/5</t>
    <phoneticPr fontId="18"/>
  </si>
  <si>
    <t>外注費</t>
    <rPh sb="0" eb="3">
      <t>ガイチュウヒ</t>
    </rPh>
    <phoneticPr fontId="18"/>
  </si>
  <si>
    <t>11/6</t>
    <phoneticPr fontId="18"/>
  </si>
  <si>
    <t>11/7</t>
    <phoneticPr fontId="18"/>
  </si>
  <si>
    <t>　非課税</t>
  </si>
  <si>
    <t>11/8</t>
    <phoneticPr fontId="18"/>
  </si>
  <si>
    <t>福利厚生費</t>
    <rPh sb="0" eb="2">
      <t>フクリ</t>
    </rPh>
    <rPh sb="2" eb="5">
      <t>コウセイヒ</t>
    </rPh>
    <phoneticPr fontId="18"/>
  </si>
  <si>
    <t>広告宣伝費</t>
    <rPh sb="0" eb="5">
      <t>コウコクセンデンヒ</t>
    </rPh>
    <phoneticPr fontId="18"/>
  </si>
  <si>
    <t>荷造運賃</t>
    <rPh sb="0" eb="2">
      <t>ニヅク</t>
    </rPh>
    <rPh sb="2" eb="4">
      <t>ウンチン</t>
    </rPh>
    <phoneticPr fontId="18"/>
  </si>
  <si>
    <t>旅費交通費</t>
    <rPh sb="0" eb="5">
      <t>リョヒコウツウヒ</t>
    </rPh>
    <phoneticPr fontId="18"/>
  </si>
  <si>
    <t>通信費</t>
    <rPh sb="0" eb="3">
      <t>ツウシンヒ</t>
    </rPh>
    <phoneticPr fontId="18"/>
  </si>
  <si>
    <t>水道光熱費</t>
    <rPh sb="0" eb="2">
      <t>スイドウ</t>
    </rPh>
    <rPh sb="2" eb="5">
      <t>コウネツヒ</t>
    </rPh>
    <phoneticPr fontId="18"/>
  </si>
  <si>
    <t>租税公課</t>
    <rPh sb="0" eb="4">
      <t>ソゼイコウカ</t>
    </rPh>
    <phoneticPr fontId="18"/>
  </si>
  <si>
    <t>交際費</t>
    <rPh sb="0" eb="3">
      <t>コウサイヒ</t>
    </rPh>
    <phoneticPr fontId="18"/>
  </si>
  <si>
    <t>消耗品費</t>
    <rPh sb="0" eb="4">
      <t>ショウモウヒンヒ</t>
    </rPh>
    <phoneticPr fontId="18"/>
  </si>
  <si>
    <t>賃借料</t>
    <rPh sb="0" eb="3">
      <t>チンシャクリョウ</t>
    </rPh>
    <phoneticPr fontId="18"/>
  </si>
  <si>
    <t>修繕費</t>
    <rPh sb="0" eb="3">
      <t>シュウゼンヒ</t>
    </rPh>
    <phoneticPr fontId="18"/>
  </si>
  <si>
    <t>保険料</t>
    <rPh sb="0" eb="3">
      <t>ホケンリョウ</t>
    </rPh>
    <phoneticPr fontId="18"/>
  </si>
  <si>
    <t>支払手数料</t>
    <rPh sb="0" eb="2">
      <t>シハライ</t>
    </rPh>
    <rPh sb="2" eb="5">
      <t>テスウリョウ</t>
    </rPh>
    <phoneticPr fontId="18"/>
  </si>
  <si>
    <t>リース料</t>
    <rPh sb="3" eb="4">
      <t>リョウ</t>
    </rPh>
    <phoneticPr fontId="18"/>
  </si>
  <si>
    <t>会議費</t>
    <rPh sb="0" eb="3">
      <t>カイギヒ</t>
    </rPh>
    <phoneticPr fontId="18"/>
  </si>
  <si>
    <t>諸会費</t>
    <rPh sb="0" eb="3">
      <t>ショカイヒ</t>
    </rPh>
    <phoneticPr fontId="18"/>
  </si>
  <si>
    <t>雑費</t>
    <rPh sb="0" eb="2">
      <t>ザッピ</t>
    </rPh>
    <phoneticPr fontId="18"/>
  </si>
  <si>
    <t>雑収入</t>
    <rPh sb="0" eb="3">
      <t>ザッシュウニュウ</t>
    </rPh>
    <phoneticPr fontId="18"/>
  </si>
  <si>
    <t>仮払金</t>
    <rPh sb="0" eb="2">
      <t>カリバライ</t>
    </rPh>
    <rPh sb="2" eb="3">
      <t>キン</t>
    </rPh>
    <phoneticPr fontId="18"/>
  </si>
  <si>
    <t>例示</t>
    <rPh sb="0" eb="2">
      <t>レイジ</t>
    </rPh>
    <phoneticPr fontId="18"/>
  </si>
  <si>
    <t>交際費</t>
    <rPh sb="0" eb="2">
      <t>コウサイ</t>
    </rPh>
    <rPh sb="2" eb="3">
      <t>ヒ</t>
    </rPh>
    <phoneticPr fontId="18"/>
  </si>
  <si>
    <t>仕入10％</t>
  </si>
  <si>
    <t>燃料費</t>
    <rPh sb="0" eb="3">
      <t>ネンリョウヒ</t>
    </rPh>
    <phoneticPr fontId="18"/>
  </si>
  <si>
    <t>仕入10％</t>
    <phoneticPr fontId="18"/>
  </si>
  <si>
    <t>運賃</t>
    <rPh sb="0" eb="2">
      <t>ウンチン</t>
    </rPh>
    <phoneticPr fontId="18"/>
  </si>
  <si>
    <t>　仕入8％(軽)</t>
    <phoneticPr fontId="18"/>
  </si>
  <si>
    <t>コピぺ</t>
    <phoneticPr fontId="18"/>
  </si>
  <si>
    <r>
      <rPr>
        <sz val="9"/>
        <color theme="1"/>
        <rFont val="游ゴシック"/>
        <family val="3"/>
        <charset val="128"/>
        <scheme val="minor"/>
      </rPr>
      <t>〇〇</t>
    </r>
    <r>
      <rPr>
        <sz val="11"/>
        <color theme="1"/>
        <rFont val="游ゴシック"/>
        <family val="2"/>
        <charset val="128"/>
        <scheme val="minor"/>
      </rPr>
      <t>/</t>
    </r>
    <r>
      <rPr>
        <sz val="9"/>
        <color theme="1"/>
        <rFont val="游ゴシック"/>
        <family val="3"/>
        <charset val="128"/>
        <scheme val="minor"/>
      </rPr>
      <t>〇〇</t>
    </r>
    <phoneticPr fontId="18"/>
  </si>
  <si>
    <t>　不課税</t>
    <rPh sb="1" eb="2">
      <t>フ</t>
    </rPh>
    <phoneticPr fontId="18"/>
  </si>
  <si>
    <t>摘要に記載する隠号（記号）の例示</t>
    <rPh sb="0" eb="2">
      <t>テキヨウ</t>
    </rPh>
    <rPh sb="3" eb="5">
      <t>キサイ</t>
    </rPh>
    <rPh sb="7" eb="8">
      <t>イン</t>
    </rPh>
    <rPh sb="8" eb="9">
      <t>ゴウ</t>
    </rPh>
    <rPh sb="10" eb="12">
      <t>キゴウ</t>
    </rPh>
    <rPh sb="14" eb="16">
      <t>レイジ</t>
    </rPh>
    <phoneticPr fontId="18"/>
  </si>
  <si>
    <t>不課税</t>
    <rPh sb="0" eb="1">
      <t>フ</t>
    </rPh>
    <rPh sb="1" eb="3">
      <t>カゼイ</t>
    </rPh>
    <phoneticPr fontId="18"/>
  </si>
  <si>
    <r>
      <t>(1)インボイス番号ない場合　</t>
    </r>
    <r>
      <rPr>
        <b/>
        <sz val="11"/>
        <color theme="1"/>
        <rFont val="游ゴシック"/>
        <family val="3"/>
        <charset val="128"/>
        <scheme val="minor"/>
      </rPr>
      <t>①</t>
    </r>
    <rPh sb="8" eb="10">
      <t>バンゴウ</t>
    </rPh>
    <rPh sb="12" eb="14">
      <t>バアイ</t>
    </rPh>
    <phoneticPr fontId="18"/>
  </si>
  <si>
    <r>
      <t>(2)軽減税率の場合　</t>
    </r>
    <r>
      <rPr>
        <b/>
        <sz val="11"/>
        <color theme="1"/>
        <rFont val="游ゴシック"/>
        <family val="3"/>
        <charset val="128"/>
        <scheme val="minor"/>
      </rPr>
      <t>⑧</t>
    </r>
    <rPh sb="3" eb="5">
      <t>ケイゲン</t>
    </rPh>
    <rPh sb="5" eb="7">
      <t>ゼイリツ</t>
    </rPh>
    <rPh sb="8" eb="10">
      <t>バアイ</t>
    </rPh>
    <phoneticPr fontId="18"/>
  </si>
  <si>
    <r>
      <t>(3)軽減税率でインボイス番号がない場合　</t>
    </r>
    <r>
      <rPr>
        <b/>
        <sz val="11"/>
        <color theme="1"/>
        <rFont val="游ゴシック"/>
        <family val="3"/>
        <charset val="128"/>
        <scheme val="minor"/>
      </rPr>
      <t>⑧①</t>
    </r>
    <rPh sb="3" eb="5">
      <t>ケイゲン</t>
    </rPh>
    <rPh sb="5" eb="7">
      <t>ゼイリツ</t>
    </rPh>
    <rPh sb="13" eb="15">
      <t>バンゴウ</t>
    </rPh>
    <rPh sb="18" eb="20">
      <t>バアイ</t>
    </rPh>
    <phoneticPr fontId="18"/>
  </si>
  <si>
    <r>
      <t>(4)不課税・非課税の場合　</t>
    </r>
    <r>
      <rPr>
        <b/>
        <sz val="11"/>
        <color theme="1"/>
        <rFont val="游ゴシック"/>
        <family val="3"/>
        <charset val="128"/>
        <scheme val="minor"/>
      </rPr>
      <t>②</t>
    </r>
    <rPh sb="3" eb="4">
      <t>フ</t>
    </rPh>
    <rPh sb="4" eb="6">
      <t>カゼイ</t>
    </rPh>
    <rPh sb="7" eb="10">
      <t>ヒカゼイ</t>
    </rPh>
    <rPh sb="11" eb="13">
      <t>バアイ</t>
    </rPh>
    <phoneticPr fontId="18"/>
  </si>
  <si>
    <t>藤原ゴルフ　</t>
    <phoneticPr fontId="18"/>
  </si>
  <si>
    <t>藤原ゴルフ　ドリンク代　⑧</t>
    <phoneticPr fontId="18"/>
  </si>
  <si>
    <t>カーマ　材料仕入</t>
    <phoneticPr fontId="18"/>
  </si>
  <si>
    <t>自販機ジュース代　⑧</t>
    <phoneticPr fontId="18"/>
  </si>
  <si>
    <t>印紙代　②</t>
    <phoneticPr fontId="18"/>
  </si>
  <si>
    <t>勘定科目</t>
    <rPh sb="0" eb="4">
      <t>カンジョウカモク</t>
    </rPh>
    <phoneticPr fontId="18"/>
  </si>
  <si>
    <t>エネオス　軽油代</t>
    <phoneticPr fontId="18"/>
  </si>
  <si>
    <t>伊藤板金　外注</t>
    <rPh sb="5" eb="7">
      <t>ガイチュウ</t>
    </rPh>
    <phoneticPr fontId="18"/>
  </si>
  <si>
    <t>ヤマト運輸　運賃</t>
    <rPh sb="6" eb="8">
      <t>ウンチン</t>
    </rPh>
    <phoneticPr fontId="18"/>
  </si>
  <si>
    <t>エネオス　軽油税　②</t>
    <phoneticPr fontId="18"/>
  </si>
  <si>
    <t>藤原ゴルフ　利用税　②</t>
    <phoneticPr fontId="18"/>
  </si>
  <si>
    <t>収入金額</t>
    <rPh sb="0" eb="2">
      <t>シュウニュウ</t>
    </rPh>
    <rPh sb="2" eb="4">
      <t>キンガク</t>
    </rPh>
    <phoneticPr fontId="18"/>
  </si>
  <si>
    <t>車輌燃料費</t>
    <rPh sb="0" eb="2">
      <t>シャリョウ</t>
    </rPh>
    <rPh sb="2" eb="5">
      <t>ネンリョウヒ</t>
    </rPh>
    <phoneticPr fontId="18"/>
  </si>
  <si>
    <t>事務用品費</t>
    <rPh sb="0" eb="2">
      <t>ジム</t>
    </rPh>
    <rPh sb="2" eb="5">
      <t>ヨウヒンヒ</t>
    </rPh>
    <phoneticPr fontId="18"/>
  </si>
  <si>
    <t>R8.09月</t>
    <rPh sb="5" eb="6">
      <t>ツキ</t>
    </rPh>
    <phoneticPr fontId="18"/>
  </si>
  <si>
    <t>現金出納帳帳</t>
    <rPh sb="0" eb="2">
      <t>ゲンキン</t>
    </rPh>
    <rPh sb="2" eb="5">
      <t>スイトウチョウ</t>
    </rPh>
    <rPh sb="5" eb="6">
      <t>チョウ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</si>
</sst>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name val="ＭＳ Ｐ明朝"/>
      <family val="1"/>
      <charset val="128"/>
    </font>
    <font>
      <sz val="11"/>
      <name val="游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25" fillId="0" borderId="0"/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 shrinkToFit="1"/>
    </xf>
    <xf numFmtId="0" fontId="0" fillId="34" borderId="10" xfId="0" applyFill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0" fillId="0" borderId="0" xfId="0" applyAlignment="1">
      <alignment horizontal="left" vertical="center" shrinkToFit="1"/>
    </xf>
    <xf numFmtId="57" fontId="0" fillId="0" borderId="0" xfId="0" applyNumberFormat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10" xfId="0" applyBorder="1" applyAlignment="1">
      <alignment horizontal="center" vertical="center" shrinkToFit="1"/>
    </xf>
    <xf numFmtId="14" fontId="0" fillId="34" borderId="10" xfId="0" applyNumberFormat="1" applyFill="1" applyBorder="1" applyAlignment="1">
      <alignment horizontal="center" vertical="center" shrinkToFit="1"/>
    </xf>
    <xf numFmtId="3" fontId="0" fillId="34" borderId="10" xfId="0" applyNumberFormat="1" applyFill="1" applyBorder="1" applyAlignment="1">
      <alignment vertical="center" shrinkToFit="1"/>
    </xf>
    <xf numFmtId="38" fontId="0" fillId="33" borderId="10" xfId="42" applyFont="1" applyFill="1" applyBorder="1" applyAlignment="1" applyProtection="1">
      <alignment vertical="center" shrinkToFit="1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3" fontId="0" fillId="0" borderId="10" xfId="0" applyNumberFormat="1" applyBorder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 applyProtection="1">
      <alignment horizontal="left" vertical="center" shrinkToFit="1"/>
      <protection locked="0"/>
    </xf>
    <xf numFmtId="38" fontId="0" fillId="0" borderId="10" xfId="42" applyFont="1" applyFill="1" applyBorder="1" applyAlignment="1" applyProtection="1">
      <alignment horizontal="right" shrinkToFit="1"/>
      <protection locked="0"/>
    </xf>
    <xf numFmtId="0" fontId="0" fillId="0" borderId="19" xfId="0" applyBorder="1" applyAlignment="1">
      <alignment horizontal="center" vertical="center" shrinkToFit="1"/>
    </xf>
    <xf numFmtId="0" fontId="0" fillId="0" borderId="15" xfId="0" applyBorder="1" applyAlignment="1">
      <alignment vertical="center" shrinkToFit="1"/>
    </xf>
    <xf numFmtId="0" fontId="0" fillId="34" borderId="19" xfId="0" applyFill="1" applyBorder="1" applyAlignment="1">
      <alignment horizontal="center" vertical="center" shrinkToFit="1"/>
    </xf>
    <xf numFmtId="0" fontId="0" fillId="34" borderId="13" xfId="0" applyFill="1" applyBorder="1" applyAlignment="1">
      <alignment horizontal="center" vertical="center" shrinkToFit="1"/>
    </xf>
    <xf numFmtId="0" fontId="0" fillId="34" borderId="2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left" vertical="center" shrinkToFit="1"/>
    </xf>
    <xf numFmtId="0" fontId="0" fillId="0" borderId="12" xfId="0" applyBorder="1" applyAlignment="1">
      <alignment vertical="center" shrinkToFit="1"/>
    </xf>
    <xf numFmtId="49" fontId="0" fillId="0" borderId="19" xfId="0" applyNumberFormat="1" applyBorder="1" applyAlignment="1">
      <alignment horizontal="center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3" xfId="0" applyBorder="1" applyAlignment="1">
      <alignment vertical="center" shrinkToFit="1"/>
    </xf>
    <xf numFmtId="0" fontId="0" fillId="0" borderId="19" xfId="0" applyBorder="1">
      <alignment vertical="center"/>
    </xf>
    <xf numFmtId="0" fontId="0" fillId="34" borderId="23" xfId="0" applyFill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 shrinkToFit="1"/>
    </xf>
    <xf numFmtId="0" fontId="0" fillId="0" borderId="23" xfId="0" applyBorder="1">
      <alignment vertical="center"/>
    </xf>
    <xf numFmtId="0" fontId="0" fillId="0" borderId="23" xfId="0" applyBorder="1" applyAlignment="1">
      <alignment horizontal="left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12" xfId="0" applyBorder="1" applyAlignment="1" applyProtection="1">
      <alignment vertical="center" shrinkToFit="1"/>
      <protection locked="0"/>
    </xf>
    <xf numFmtId="0" fontId="0" fillId="34" borderId="11" xfId="0" applyFill="1" applyBorder="1" applyAlignment="1">
      <alignment horizontal="center" vertical="center" shrinkToFit="1"/>
    </xf>
    <xf numFmtId="0" fontId="0" fillId="0" borderId="0" xfId="0" applyAlignment="1">
      <alignment horizontal="right" vertical="center" shrinkToFit="1"/>
    </xf>
    <xf numFmtId="38" fontId="0" fillId="0" borderId="15" xfId="42" applyFont="1" applyFill="1" applyBorder="1" applyAlignment="1" applyProtection="1">
      <alignment horizontal="right" vertical="center" shrinkToFit="1"/>
    </xf>
    <xf numFmtId="0" fontId="0" fillId="37" borderId="10" xfId="0" applyFill="1" applyBorder="1" applyAlignment="1">
      <alignment vertical="center" shrinkToFit="1"/>
    </xf>
    <xf numFmtId="0" fontId="21" fillId="0" borderId="15" xfId="0" applyFont="1" applyBorder="1" applyAlignment="1" applyProtection="1">
      <alignment horizontal="center" vertical="center" shrinkToFit="1"/>
      <protection locked="0"/>
    </xf>
    <xf numFmtId="57" fontId="0" fillId="0" borderId="15" xfId="0" applyNumberFormat="1" applyBorder="1" applyAlignment="1" applyProtection="1">
      <alignment horizontal="center" vertical="center" shrinkToFit="1"/>
      <protection locked="0"/>
    </xf>
    <xf numFmtId="0" fontId="0" fillId="0" borderId="15" xfId="0" applyBorder="1" applyAlignment="1" applyProtection="1">
      <alignment vertical="center" shrinkToFit="1"/>
      <protection locked="0"/>
    </xf>
    <xf numFmtId="0" fontId="23" fillId="0" borderId="0" xfId="0" applyFont="1" applyAlignment="1">
      <alignment horizontal="center" vertical="center"/>
    </xf>
    <xf numFmtId="0" fontId="0" fillId="0" borderId="24" xfId="0" applyBorder="1">
      <alignment vertical="center"/>
    </xf>
    <xf numFmtId="0" fontId="0" fillId="0" borderId="24" xfId="0" applyBorder="1" applyAlignment="1">
      <alignment horizontal="left" vertical="center" shrinkToFit="1"/>
    </xf>
    <xf numFmtId="49" fontId="0" fillId="0" borderId="0" xfId="0" applyNumberFormat="1" applyAlignment="1">
      <alignment horizontal="left" vertical="center"/>
    </xf>
    <xf numFmtId="38" fontId="0" fillId="0" borderId="0" xfId="42" applyFont="1" applyFill="1" applyBorder="1" applyAlignment="1" applyProtection="1">
      <alignment horizontal="right" vertical="center" shrinkToFit="1"/>
    </xf>
    <xf numFmtId="0" fontId="0" fillId="0" borderId="24" xfId="0" applyBorder="1" applyAlignment="1">
      <alignment vertical="center" shrinkToFit="1"/>
    </xf>
    <xf numFmtId="0" fontId="24" fillId="0" borderId="0" xfId="0" applyFont="1">
      <alignment vertical="center"/>
    </xf>
    <xf numFmtId="0" fontId="0" fillId="34" borderId="0" xfId="0" applyFill="1" applyAlignment="1">
      <alignment horizontal="center" vertical="center"/>
    </xf>
    <xf numFmtId="0" fontId="0" fillId="0" borderId="25" xfId="0" applyBorder="1" applyAlignment="1">
      <alignment vertical="center" shrinkToFit="1"/>
    </xf>
    <xf numFmtId="0" fontId="0" fillId="0" borderId="25" xfId="0" applyBorder="1" applyAlignment="1"/>
    <xf numFmtId="0" fontId="0" fillId="0" borderId="25" xfId="0" applyBorder="1">
      <alignment vertical="center"/>
    </xf>
    <xf numFmtId="38" fontId="0" fillId="0" borderId="10" xfId="42" applyFont="1" applyFill="1" applyBorder="1" applyAlignment="1" applyProtection="1">
      <alignment horizontal="right" vertical="center" shrinkToFit="1"/>
    </xf>
    <xf numFmtId="38" fontId="0" fillId="0" borderId="10" xfId="42" applyFont="1" applyBorder="1" applyAlignment="1">
      <alignment horizontal="right" vertical="center" shrinkToFit="1"/>
    </xf>
    <xf numFmtId="0" fontId="0" fillId="0" borderId="1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vertical="center" shrinkToFit="1"/>
      <protection locked="0"/>
    </xf>
    <xf numFmtId="14" fontId="0" fillId="0" borderId="10" xfId="0" applyNumberFormat="1" applyBorder="1" applyAlignment="1" applyProtection="1">
      <alignment horizontal="left" vertical="center" shrinkToFit="1"/>
      <protection locked="0"/>
    </xf>
    <xf numFmtId="14" fontId="0" fillId="0" borderId="11" xfId="0" applyNumberFormat="1" applyBorder="1" applyAlignment="1" applyProtection="1">
      <alignment horizontal="left" vertical="center" shrinkToFit="1"/>
      <protection locked="0"/>
    </xf>
    <xf numFmtId="38" fontId="0" fillId="0" borderId="10" xfId="42" applyFont="1" applyFill="1" applyBorder="1" applyAlignment="1" applyProtection="1">
      <alignment shrinkToFit="1"/>
      <protection locked="0"/>
    </xf>
    <xf numFmtId="38" fontId="0" fillId="36" borderId="10" xfId="42" applyFont="1" applyFill="1" applyBorder="1" applyAlignment="1" applyProtection="1">
      <alignment shrinkToFit="1"/>
    </xf>
    <xf numFmtId="38" fontId="0" fillId="34" borderId="10" xfId="42" applyFont="1" applyFill="1" applyBorder="1" applyAlignment="1" applyProtection="1">
      <alignment vertical="center" shrinkToFit="1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0" borderId="12" xfId="0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38" fontId="26" fillId="0" borderId="10" xfId="43" applyNumberFormat="1" applyFont="1" applyBorder="1" applyAlignment="1" applyProtection="1">
      <alignment shrinkToFit="1"/>
      <protection locked="0"/>
    </xf>
    <xf numFmtId="3" fontId="26" fillId="0" borderId="10" xfId="43" applyNumberFormat="1" applyFont="1" applyBorder="1" applyAlignment="1" applyProtection="1">
      <alignment shrinkToFit="1"/>
      <protection locked="0"/>
    </xf>
    <xf numFmtId="0" fontId="0" fillId="0" borderId="10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9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14" fontId="0" fillId="0" borderId="16" xfId="0" applyNumberFormat="1" applyBorder="1" applyAlignment="1">
      <alignment horizontal="center" vertical="center" shrinkToFit="1"/>
    </xf>
    <xf numFmtId="14" fontId="0" fillId="0" borderId="17" xfId="0" applyNumberFormat="1" applyBorder="1" applyAlignment="1">
      <alignment horizontal="center" vertical="center" shrinkToFit="1"/>
    </xf>
    <xf numFmtId="14" fontId="0" fillId="0" borderId="10" xfId="0" applyNumberFormat="1" applyBorder="1" applyAlignment="1">
      <alignment horizontal="center" vertical="center" shrinkToFit="1"/>
    </xf>
    <xf numFmtId="0" fontId="21" fillId="0" borderId="15" xfId="0" applyFont="1" applyBorder="1" applyAlignment="1" applyProtection="1">
      <alignment horizontal="left" vertical="center" shrinkToFit="1"/>
      <protection locked="0"/>
    </xf>
    <xf numFmtId="0" fontId="24" fillId="0" borderId="15" xfId="0" applyFont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49" fontId="26" fillId="0" borderId="10" xfId="43" applyNumberFormat="1" applyFont="1" applyBorder="1" applyAlignment="1" applyProtection="1">
      <alignment shrinkToFit="1"/>
      <protection locked="0"/>
    </xf>
    <xf numFmtId="0" fontId="19" fillId="35" borderId="10" xfId="0" applyFont="1" applyFill="1" applyBorder="1" applyAlignment="1">
      <alignment horizontal="center" vertical="center" shrinkToFit="1"/>
    </xf>
    <xf numFmtId="0" fontId="20" fillId="35" borderId="10" xfId="0" applyFont="1" applyFill="1" applyBorder="1" applyAlignment="1">
      <alignment horizontal="center" vertical="center" shrinkToFit="1"/>
    </xf>
    <xf numFmtId="0" fontId="20" fillId="35" borderId="14" xfId="0" applyFont="1" applyFill="1" applyBorder="1" applyAlignment="1">
      <alignment horizontal="center" vertical="center" shrinkToFit="1"/>
    </xf>
    <xf numFmtId="0" fontId="20" fillId="35" borderId="11" xfId="0" applyFont="1" applyFill="1" applyBorder="1" applyAlignment="1">
      <alignment horizontal="center" vertical="center" shrinkToFit="1"/>
    </xf>
    <xf numFmtId="0" fontId="19" fillId="35" borderId="14" xfId="0" applyFont="1" applyFill="1" applyBorder="1" applyAlignment="1">
      <alignment horizontal="center" vertical="center" shrinkToFit="1"/>
    </xf>
    <xf numFmtId="0" fontId="20" fillId="35" borderId="16" xfId="0" applyFont="1" applyFill="1" applyBorder="1" applyAlignment="1">
      <alignment horizontal="center" vertical="center" shrinkToFit="1"/>
    </xf>
    <xf numFmtId="0" fontId="20" fillId="35" borderId="17" xfId="0" applyFont="1" applyFill="1" applyBorder="1" applyAlignment="1">
      <alignment horizontal="center" vertical="center" shrinkToFit="1"/>
    </xf>
    <xf numFmtId="0" fontId="20" fillId="35" borderId="18" xfId="0" applyFont="1" applyFill="1" applyBorder="1" applyAlignment="1">
      <alignment horizontal="center" vertical="center" shrinkToFit="1"/>
    </xf>
    <xf numFmtId="0" fontId="20" fillId="35" borderId="12" xfId="0" applyFont="1" applyFill="1" applyBorder="1" applyAlignment="1">
      <alignment horizontal="center" vertical="center" shrinkToFit="1"/>
    </xf>
    <xf numFmtId="38" fontId="0" fillId="0" borderId="15" xfId="42" applyFont="1" applyFill="1" applyBorder="1" applyAlignment="1" applyProtection="1">
      <alignment horizontal="right" vertical="center" shrinkToFit="1"/>
    </xf>
    <xf numFmtId="38" fontId="0" fillId="0" borderId="0" xfId="42" applyFont="1" applyFill="1" applyBorder="1" applyAlignment="1" applyProtection="1">
      <alignment horizontal="right" vertical="center" shrinkToFit="1"/>
    </xf>
    <xf numFmtId="0" fontId="0" fillId="37" borderId="10" xfId="0" applyFill="1" applyBorder="1" applyAlignment="1">
      <alignment horizontal="center" vertical="center" shrinkToFit="1"/>
    </xf>
    <xf numFmtId="0" fontId="0" fillId="0" borderId="19" xfId="0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alignment vertical="center" shrinkToFit="1"/>
      <protection locked="0"/>
    </xf>
    <xf numFmtId="0" fontId="0" fillId="0" borderId="14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Normal 1" xfId="43" xr:uid="{347C19AF-3FDF-43B8-A7B4-F8B30219D366}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600075</xdr:colOff>
      <xdr:row>2</xdr:row>
      <xdr:rowOff>9525</xdr:rowOff>
    </xdr:from>
    <xdr:to>
      <xdr:col>24</xdr:col>
      <xdr:colOff>549342</xdr:colOff>
      <xdr:row>20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1B18FB-744F-462B-8C64-E57C69D03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8975" y="466725"/>
          <a:ext cx="6616767" cy="441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6B42-A302-4F72-B11E-B1CB45017ADB}">
  <sheetPr>
    <tabColor rgb="FF00B0F0"/>
  </sheetPr>
  <dimension ref="A1:T45"/>
  <sheetViews>
    <sheetView tabSelected="1"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defaultRowHeight="18.75" x14ac:dyDescent="0.4"/>
  <cols>
    <col min="1" max="2" width="10.625" customWidth="1"/>
    <col min="3" max="3" width="19.75" customWidth="1"/>
    <col min="4" max="4" width="10.625" style="1" customWidth="1"/>
    <col min="5" max="5" width="9.5" style="1" customWidth="1"/>
    <col min="6" max="8" width="10.625" customWidth="1"/>
    <col min="9" max="9" width="3" customWidth="1"/>
    <col min="10" max="10" width="2.375" customWidth="1"/>
    <col min="11" max="11" width="10.625" customWidth="1"/>
    <col min="12" max="12" width="2.125" customWidth="1"/>
    <col min="13" max="13" width="10.625" customWidth="1"/>
    <col min="14" max="14" width="2.125" customWidth="1"/>
    <col min="15" max="19" width="10.625" customWidth="1"/>
  </cols>
  <sheetData>
    <row r="1" spans="1:18" ht="22.5" customHeight="1" x14ac:dyDescent="0.4">
      <c r="A1" s="81" t="s">
        <v>76</v>
      </c>
      <c r="B1" s="81"/>
      <c r="C1" s="43" t="s">
        <v>75</v>
      </c>
      <c r="D1" s="44"/>
      <c r="E1" s="44"/>
      <c r="F1" s="45"/>
      <c r="G1" s="45"/>
      <c r="H1" s="45"/>
      <c r="K1" s="52" t="s">
        <v>16</v>
      </c>
    </row>
    <row r="2" spans="1:18" ht="14.1" customHeight="1" x14ac:dyDescent="0.4">
      <c r="A2" s="85" t="s">
        <v>2</v>
      </c>
      <c r="B2" s="86" t="s">
        <v>3</v>
      </c>
      <c r="C2" s="90" t="s">
        <v>9</v>
      </c>
      <c r="D2" s="91"/>
      <c r="E2" s="87" t="s">
        <v>12</v>
      </c>
      <c r="F2" s="89" t="s">
        <v>10</v>
      </c>
      <c r="G2" s="87" t="s">
        <v>11</v>
      </c>
      <c r="H2" s="87" t="s">
        <v>14</v>
      </c>
      <c r="K2" s="46" t="s">
        <v>53</v>
      </c>
      <c r="M2" s="1" t="s">
        <v>52</v>
      </c>
      <c r="O2" s="1" t="s">
        <v>52</v>
      </c>
      <c r="P2" s="1"/>
      <c r="Q2" s="1"/>
      <c r="R2" s="1"/>
    </row>
    <row r="3" spans="1:18" ht="14.1" customHeight="1" thickBot="1" x14ac:dyDescent="0.45">
      <c r="A3" s="86"/>
      <c r="B3" s="86"/>
      <c r="C3" s="92"/>
      <c r="D3" s="93"/>
      <c r="E3" s="88"/>
      <c r="F3" s="88"/>
      <c r="G3" s="88"/>
      <c r="H3" s="88"/>
      <c r="K3" s="23" t="s">
        <v>2</v>
      </c>
      <c r="L3" s="33"/>
      <c r="M3" s="24" t="s">
        <v>3</v>
      </c>
      <c r="N3" s="33"/>
      <c r="O3" s="25" t="s">
        <v>4</v>
      </c>
      <c r="P3" s="53"/>
      <c r="Q3" s="53"/>
      <c r="R3" s="53"/>
    </row>
    <row r="4" spans="1:18" ht="19.5" thickTop="1" x14ac:dyDescent="0.4">
      <c r="A4" s="42"/>
      <c r="B4" s="42"/>
      <c r="C4" s="96" t="s">
        <v>13</v>
      </c>
      <c r="D4" s="96"/>
      <c r="E4" s="42"/>
      <c r="F4" s="42"/>
      <c r="G4" s="42"/>
      <c r="H4" s="18">
        <v>0</v>
      </c>
      <c r="K4" s="26" t="s">
        <v>17</v>
      </c>
      <c r="L4" s="34"/>
      <c r="M4" s="27" t="s">
        <v>18</v>
      </c>
      <c r="N4" s="36"/>
      <c r="O4" s="28" t="s">
        <v>19</v>
      </c>
      <c r="P4" s="8"/>
      <c r="Q4" s="8"/>
      <c r="R4" s="8"/>
    </row>
    <row r="5" spans="1:18" x14ac:dyDescent="0.4">
      <c r="A5" s="61"/>
      <c r="B5" s="17"/>
      <c r="C5" s="84"/>
      <c r="D5" s="84"/>
      <c r="E5" s="68"/>
      <c r="F5" s="18"/>
      <c r="G5" s="71"/>
      <c r="H5" s="64">
        <f>H4+F5-G5</f>
        <v>0</v>
      </c>
      <c r="K5" s="29" t="s">
        <v>20</v>
      </c>
      <c r="L5" s="34"/>
      <c r="M5" s="30" t="s">
        <v>21</v>
      </c>
      <c r="N5" s="36"/>
      <c r="O5" s="31" t="s">
        <v>51</v>
      </c>
      <c r="P5" s="8"/>
      <c r="Q5" s="8"/>
      <c r="R5" s="8"/>
    </row>
    <row r="6" spans="1:18" x14ac:dyDescent="0.4">
      <c r="A6" s="61"/>
      <c r="B6" s="17"/>
      <c r="C6" s="84"/>
      <c r="D6" s="84"/>
      <c r="E6" s="68"/>
      <c r="F6" s="18"/>
      <c r="G6" s="71"/>
      <c r="H6" s="64">
        <f>H5+F6-G6</f>
        <v>0</v>
      </c>
      <c r="K6" s="29" t="s">
        <v>22</v>
      </c>
      <c r="L6" s="34"/>
      <c r="M6" s="30" t="s">
        <v>26</v>
      </c>
      <c r="N6" s="36"/>
      <c r="O6" s="31" t="s">
        <v>54</v>
      </c>
      <c r="P6" s="8"/>
      <c r="Q6" s="8"/>
      <c r="R6" s="8"/>
    </row>
    <row r="7" spans="1:18" x14ac:dyDescent="0.4">
      <c r="A7" s="61"/>
      <c r="B7" s="17"/>
      <c r="C7" s="84"/>
      <c r="D7" s="84"/>
      <c r="E7" s="68"/>
      <c r="F7" s="18"/>
      <c r="G7" s="71"/>
      <c r="H7" s="64">
        <f t="shared" ref="H7:H44" si="0">H6+F7-G7</f>
        <v>0</v>
      </c>
      <c r="K7" s="29" t="s">
        <v>23</v>
      </c>
      <c r="L7" s="34"/>
      <c r="M7" s="30" t="s">
        <v>27</v>
      </c>
      <c r="N7" s="36"/>
      <c r="O7" s="31" t="s">
        <v>24</v>
      </c>
      <c r="P7" s="8"/>
      <c r="Q7" s="8"/>
      <c r="R7" s="8"/>
    </row>
    <row r="8" spans="1:18" x14ac:dyDescent="0.4">
      <c r="A8" s="61"/>
      <c r="B8" s="17"/>
      <c r="C8" s="84"/>
      <c r="D8" s="84"/>
      <c r="E8" s="68"/>
      <c r="F8" s="18"/>
      <c r="G8" s="71"/>
      <c r="H8" s="64">
        <f t="shared" si="0"/>
        <v>0</v>
      </c>
      <c r="K8" s="29" t="s">
        <v>25</v>
      </c>
      <c r="L8" s="34"/>
      <c r="M8" s="30" t="s">
        <v>28</v>
      </c>
      <c r="N8" s="36"/>
      <c r="O8" s="31" t="s">
        <v>51</v>
      </c>
      <c r="P8" s="8"/>
      <c r="Q8" s="8"/>
      <c r="R8" s="8"/>
    </row>
    <row r="9" spans="1:18" x14ac:dyDescent="0.4">
      <c r="A9" s="61"/>
      <c r="B9" s="17"/>
      <c r="C9" s="84"/>
      <c r="D9" s="84"/>
      <c r="E9" s="68"/>
      <c r="F9" s="18"/>
      <c r="G9" s="71"/>
      <c r="H9" s="64">
        <f t="shared" si="0"/>
        <v>0</v>
      </c>
      <c r="K9" s="29"/>
      <c r="L9" s="34"/>
      <c r="M9" s="30" t="s">
        <v>29</v>
      </c>
      <c r="N9" s="36"/>
      <c r="O9" s="31"/>
      <c r="P9" s="8"/>
      <c r="Q9" s="8"/>
      <c r="R9" s="8"/>
    </row>
    <row r="10" spans="1:18" x14ac:dyDescent="0.4">
      <c r="A10" s="61"/>
      <c r="B10" s="17"/>
      <c r="C10" s="84"/>
      <c r="D10" s="84"/>
      <c r="E10" s="68"/>
      <c r="F10" s="18"/>
      <c r="G10" s="71"/>
      <c r="H10" s="64">
        <f t="shared" si="0"/>
        <v>0</v>
      </c>
      <c r="K10" s="29"/>
      <c r="L10" s="34"/>
      <c r="M10" s="30" t="s">
        <v>30</v>
      </c>
      <c r="N10" s="36"/>
      <c r="O10" s="28" t="s">
        <v>19</v>
      </c>
      <c r="P10" s="8"/>
      <c r="Q10" s="8"/>
      <c r="R10" s="8"/>
    </row>
    <row r="11" spans="1:18" x14ac:dyDescent="0.4">
      <c r="A11" s="62"/>
      <c r="B11" s="17"/>
      <c r="C11" s="84"/>
      <c r="D11" s="84"/>
      <c r="E11" s="70"/>
      <c r="F11" s="18"/>
      <c r="G11" s="72"/>
      <c r="H11" s="64">
        <f t="shared" si="0"/>
        <v>0</v>
      </c>
      <c r="K11" s="29"/>
      <c r="L11" s="34"/>
      <c r="M11" s="30" t="s">
        <v>31</v>
      </c>
      <c r="N11" s="36"/>
      <c r="O11" s="31" t="s">
        <v>51</v>
      </c>
      <c r="P11" s="8"/>
      <c r="Q11" s="8"/>
      <c r="R11" s="8"/>
    </row>
    <row r="12" spans="1:18" x14ac:dyDescent="0.4">
      <c r="A12" s="62"/>
      <c r="B12" s="17"/>
      <c r="C12" s="84"/>
      <c r="D12" s="84"/>
      <c r="E12" s="68"/>
      <c r="F12" s="18"/>
      <c r="G12" s="71"/>
      <c r="H12" s="64">
        <f t="shared" si="0"/>
        <v>0</v>
      </c>
      <c r="K12" s="32"/>
      <c r="L12" s="35"/>
      <c r="M12" s="30" t="s">
        <v>32</v>
      </c>
      <c r="N12" s="36"/>
      <c r="O12" s="31" t="s">
        <v>54</v>
      </c>
      <c r="P12" s="8"/>
      <c r="Q12" s="8"/>
      <c r="R12" s="8"/>
    </row>
    <row r="13" spans="1:18" x14ac:dyDescent="0.4">
      <c r="A13" s="62"/>
      <c r="B13" s="17"/>
      <c r="C13" s="84"/>
      <c r="D13" s="84"/>
      <c r="E13" s="68"/>
      <c r="F13" s="18"/>
      <c r="G13" s="71"/>
      <c r="H13" s="64">
        <f t="shared" si="0"/>
        <v>0</v>
      </c>
      <c r="K13" s="32"/>
      <c r="L13" s="35"/>
      <c r="M13" s="30" t="s">
        <v>33</v>
      </c>
      <c r="N13" s="36"/>
      <c r="O13" s="31" t="s">
        <v>24</v>
      </c>
      <c r="P13" s="8"/>
      <c r="Q13" s="8"/>
      <c r="R13" s="8"/>
    </row>
    <row r="14" spans="1:18" x14ac:dyDescent="0.4">
      <c r="A14" s="62"/>
      <c r="B14" s="17"/>
      <c r="C14" s="84"/>
      <c r="D14" s="84"/>
      <c r="E14" s="68"/>
      <c r="F14" s="18"/>
      <c r="G14" s="71"/>
      <c r="H14" s="64">
        <f t="shared" si="0"/>
        <v>0</v>
      </c>
      <c r="K14" s="32"/>
      <c r="L14" s="35"/>
      <c r="M14" s="30" t="s">
        <v>34</v>
      </c>
      <c r="N14" s="36"/>
      <c r="O14" s="31" t="s">
        <v>51</v>
      </c>
      <c r="P14" s="8"/>
      <c r="Q14" s="8"/>
      <c r="R14" s="8"/>
    </row>
    <row r="15" spans="1:18" x14ac:dyDescent="0.4">
      <c r="A15" s="62"/>
      <c r="B15" s="17"/>
      <c r="C15" s="84"/>
      <c r="D15" s="84"/>
      <c r="E15" s="68"/>
      <c r="F15" s="18"/>
      <c r="G15" s="71"/>
      <c r="H15" s="64">
        <f t="shared" si="0"/>
        <v>0</v>
      </c>
      <c r="K15" s="32"/>
      <c r="L15" s="35"/>
      <c r="M15" s="30" t="s">
        <v>74</v>
      </c>
      <c r="N15" s="36"/>
      <c r="O15" s="14"/>
    </row>
    <row r="16" spans="1:18" x14ac:dyDescent="0.4">
      <c r="A16" s="62"/>
      <c r="B16" s="17"/>
      <c r="C16" s="84"/>
      <c r="D16" s="84"/>
      <c r="E16" s="60"/>
      <c r="F16" s="18"/>
      <c r="G16" s="71"/>
      <c r="H16" s="64">
        <f t="shared" si="0"/>
        <v>0</v>
      </c>
      <c r="K16" s="32"/>
      <c r="L16" s="35"/>
      <c r="M16" s="30" t="s">
        <v>35</v>
      </c>
      <c r="N16" s="36"/>
      <c r="O16" s="28" t="s">
        <v>19</v>
      </c>
      <c r="P16" s="8"/>
      <c r="Q16" s="8"/>
      <c r="R16" s="8"/>
    </row>
    <row r="17" spans="1:18" x14ac:dyDescent="0.4">
      <c r="A17" s="62"/>
      <c r="B17" s="17"/>
      <c r="C17" s="84"/>
      <c r="D17" s="84"/>
      <c r="E17" s="68"/>
      <c r="F17" s="18"/>
      <c r="G17" s="71"/>
      <c r="H17" s="64">
        <f t="shared" si="0"/>
        <v>0</v>
      </c>
      <c r="K17" s="32"/>
      <c r="L17" s="35"/>
      <c r="M17" s="30" t="s">
        <v>36</v>
      </c>
      <c r="N17" s="36"/>
      <c r="O17" s="31" t="s">
        <v>51</v>
      </c>
      <c r="P17" s="8"/>
      <c r="Q17" s="8"/>
      <c r="R17" s="8"/>
    </row>
    <row r="18" spans="1:18" x14ac:dyDescent="0.4">
      <c r="A18" s="62"/>
      <c r="B18" s="17"/>
      <c r="C18" s="84"/>
      <c r="D18" s="84"/>
      <c r="E18" s="60"/>
      <c r="F18" s="18"/>
      <c r="G18" s="71"/>
      <c r="H18" s="64">
        <f t="shared" si="0"/>
        <v>0</v>
      </c>
      <c r="K18" s="32"/>
      <c r="L18" s="35"/>
      <c r="M18" s="30" t="s">
        <v>37</v>
      </c>
      <c r="N18" s="36"/>
      <c r="O18" s="31" t="s">
        <v>54</v>
      </c>
      <c r="P18" s="8"/>
      <c r="Q18" s="8"/>
      <c r="R18" s="8"/>
    </row>
    <row r="19" spans="1:18" x14ac:dyDescent="0.4">
      <c r="A19" s="62"/>
      <c r="B19" s="17"/>
      <c r="C19" s="84"/>
      <c r="D19" s="84"/>
      <c r="E19" s="70"/>
      <c r="F19" s="71"/>
      <c r="G19" s="18"/>
      <c r="H19" s="64">
        <f t="shared" si="0"/>
        <v>0</v>
      </c>
      <c r="K19" s="32"/>
      <c r="L19" s="35"/>
      <c r="M19" s="30" t="s">
        <v>38</v>
      </c>
      <c r="N19" s="36"/>
      <c r="O19" s="31" t="s">
        <v>24</v>
      </c>
      <c r="P19" s="8"/>
      <c r="Q19" s="8"/>
      <c r="R19" s="8"/>
    </row>
    <row r="20" spans="1:18" x14ac:dyDescent="0.4">
      <c r="A20" s="62"/>
      <c r="B20" s="17"/>
      <c r="C20" s="84"/>
      <c r="D20" s="84"/>
      <c r="E20" s="68"/>
      <c r="F20" s="72"/>
      <c r="G20" s="18"/>
      <c r="H20" s="64">
        <f t="shared" si="0"/>
        <v>0</v>
      </c>
      <c r="K20" s="32"/>
      <c r="L20" s="35"/>
      <c r="M20" s="30" t="s">
        <v>39</v>
      </c>
      <c r="N20" s="36"/>
      <c r="O20" s="31" t="s">
        <v>51</v>
      </c>
      <c r="P20" s="8"/>
      <c r="Q20" s="8"/>
      <c r="R20" s="8"/>
    </row>
    <row r="21" spans="1:18" x14ac:dyDescent="0.4">
      <c r="A21" s="62"/>
      <c r="B21" s="17"/>
      <c r="C21" s="84"/>
      <c r="D21" s="84"/>
      <c r="E21" s="70"/>
      <c r="F21" s="71"/>
      <c r="G21" s="18"/>
      <c r="H21" s="64">
        <f t="shared" si="0"/>
        <v>0</v>
      </c>
      <c r="K21" s="32"/>
      <c r="L21" s="35"/>
      <c r="M21" s="30" t="s">
        <v>40</v>
      </c>
      <c r="N21" s="36"/>
      <c r="O21" s="14"/>
    </row>
    <row r="22" spans="1:18" x14ac:dyDescent="0.4">
      <c r="A22" s="62"/>
      <c r="B22" s="17"/>
      <c r="C22" s="84"/>
      <c r="D22" s="84"/>
      <c r="E22" s="70"/>
      <c r="F22" s="71"/>
      <c r="G22" s="18"/>
      <c r="H22" s="64">
        <f t="shared" si="0"/>
        <v>0</v>
      </c>
      <c r="K22" s="32"/>
      <c r="L22" s="35"/>
      <c r="M22" s="30" t="s">
        <v>73</v>
      </c>
      <c r="N22" s="36"/>
      <c r="O22" s="28" t="s">
        <v>19</v>
      </c>
      <c r="P22" s="8"/>
      <c r="Q22" s="8"/>
      <c r="R22" s="8"/>
    </row>
    <row r="23" spans="1:18" x14ac:dyDescent="0.4">
      <c r="A23" s="62"/>
      <c r="B23" s="17"/>
      <c r="C23" s="84"/>
      <c r="D23" s="84"/>
      <c r="E23" s="70"/>
      <c r="F23" s="71"/>
      <c r="G23" s="18"/>
      <c r="H23" s="64">
        <f t="shared" si="0"/>
        <v>0</v>
      </c>
      <c r="K23" s="32"/>
      <c r="L23" s="35"/>
      <c r="M23" s="30" t="s">
        <v>41</v>
      </c>
      <c r="N23" s="36"/>
      <c r="O23" s="31" t="s">
        <v>51</v>
      </c>
      <c r="P23" s="8"/>
      <c r="Q23" s="8"/>
      <c r="R23" s="8"/>
    </row>
    <row r="24" spans="1:18" x14ac:dyDescent="0.4">
      <c r="A24" s="62"/>
      <c r="B24" s="17"/>
      <c r="C24" s="84"/>
      <c r="D24" s="84"/>
      <c r="E24" s="60"/>
      <c r="F24" s="18"/>
      <c r="G24" s="71"/>
      <c r="H24" s="64">
        <f t="shared" si="0"/>
        <v>0</v>
      </c>
      <c r="K24" s="32"/>
      <c r="L24" s="35"/>
      <c r="M24" s="30" t="s">
        <v>42</v>
      </c>
      <c r="N24" s="36"/>
      <c r="O24" s="31" t="s">
        <v>54</v>
      </c>
      <c r="P24" s="8"/>
      <c r="Q24" s="8"/>
      <c r="R24" s="8"/>
    </row>
    <row r="25" spans="1:18" x14ac:dyDescent="0.4">
      <c r="A25" s="62"/>
      <c r="B25" s="17"/>
      <c r="C25" s="84"/>
      <c r="D25" s="84"/>
      <c r="E25" s="60"/>
      <c r="F25" s="18"/>
      <c r="G25" s="71"/>
      <c r="H25" s="64">
        <f t="shared" si="0"/>
        <v>0</v>
      </c>
      <c r="K25" s="32"/>
      <c r="L25" s="35"/>
      <c r="M25" s="30" t="s">
        <v>43</v>
      </c>
      <c r="N25" s="36"/>
      <c r="O25" s="31" t="s">
        <v>24</v>
      </c>
      <c r="P25" s="8"/>
      <c r="Q25" s="8"/>
      <c r="R25" s="8"/>
    </row>
    <row r="26" spans="1:18" x14ac:dyDescent="0.4">
      <c r="A26" s="62"/>
      <c r="B26" s="17"/>
      <c r="C26" s="84"/>
      <c r="D26" s="84"/>
      <c r="E26" s="60"/>
      <c r="F26" s="18"/>
      <c r="G26" s="71"/>
      <c r="H26" s="64">
        <f t="shared" si="0"/>
        <v>0</v>
      </c>
      <c r="K26" s="32"/>
      <c r="L26" s="35"/>
      <c r="M26" s="30" t="s">
        <v>44</v>
      </c>
      <c r="N26" s="36"/>
      <c r="O26" s="31" t="s">
        <v>51</v>
      </c>
      <c r="P26" s="8"/>
      <c r="Q26" s="8"/>
      <c r="R26" s="8"/>
    </row>
    <row r="27" spans="1:18" x14ac:dyDescent="0.4">
      <c r="A27" s="62"/>
      <c r="B27" s="17"/>
      <c r="C27" s="84"/>
      <c r="D27" s="84"/>
      <c r="E27" s="60"/>
      <c r="F27" s="18"/>
      <c r="G27" s="71"/>
      <c r="H27" s="64">
        <f t="shared" si="0"/>
        <v>0</v>
      </c>
      <c r="K27" s="47"/>
      <c r="M27" s="48"/>
      <c r="N27" s="5"/>
      <c r="O27" s="51"/>
      <c r="P27" s="8"/>
      <c r="Q27" s="8"/>
      <c r="R27" s="8"/>
    </row>
    <row r="28" spans="1:18" x14ac:dyDescent="0.4">
      <c r="A28" s="62"/>
      <c r="B28" s="17"/>
      <c r="C28" s="84"/>
      <c r="D28" s="84"/>
      <c r="E28" s="60"/>
      <c r="F28" s="18"/>
      <c r="G28" s="71"/>
      <c r="H28" s="64">
        <f t="shared" si="0"/>
        <v>0</v>
      </c>
      <c r="K28" s="52" t="s">
        <v>55</v>
      </c>
      <c r="M28" s="5"/>
    </row>
    <row r="29" spans="1:18" x14ac:dyDescent="0.4">
      <c r="A29" s="62"/>
      <c r="B29" s="17"/>
      <c r="C29" s="84"/>
      <c r="D29" s="84"/>
      <c r="E29" s="60"/>
      <c r="F29" s="18"/>
      <c r="G29" s="71"/>
      <c r="H29" s="64">
        <f t="shared" si="0"/>
        <v>0</v>
      </c>
      <c r="K29" s="49" t="s">
        <v>57</v>
      </c>
      <c r="M29" s="5"/>
      <c r="N29" s="5"/>
    </row>
    <row r="30" spans="1:18" x14ac:dyDescent="0.4">
      <c r="A30" s="62"/>
      <c r="B30" s="17"/>
      <c r="C30" s="84"/>
      <c r="D30" s="84"/>
      <c r="E30" s="68"/>
      <c r="F30" s="18"/>
      <c r="G30" s="71"/>
      <c r="H30" s="64">
        <f t="shared" si="0"/>
        <v>0</v>
      </c>
      <c r="K30" s="49" t="s">
        <v>58</v>
      </c>
      <c r="N30" s="5"/>
    </row>
    <row r="31" spans="1:18" x14ac:dyDescent="0.4">
      <c r="A31" s="62"/>
      <c r="B31" s="59"/>
      <c r="C31" s="84"/>
      <c r="D31" s="84"/>
      <c r="E31" s="69"/>
      <c r="F31" s="63"/>
      <c r="G31" s="63"/>
      <c r="H31" s="64">
        <f t="shared" si="0"/>
        <v>0</v>
      </c>
      <c r="K31" s="49" t="s">
        <v>59</v>
      </c>
    </row>
    <row r="32" spans="1:18" x14ac:dyDescent="0.4">
      <c r="A32" s="62"/>
      <c r="B32" s="17"/>
      <c r="C32" s="84"/>
      <c r="D32" s="84"/>
      <c r="E32" s="69"/>
      <c r="F32" s="63"/>
      <c r="G32" s="63"/>
      <c r="H32" s="64">
        <f t="shared" si="0"/>
        <v>0</v>
      </c>
      <c r="K32" s="49" t="s">
        <v>60</v>
      </c>
    </row>
    <row r="33" spans="1:20" x14ac:dyDescent="0.4">
      <c r="A33" s="62"/>
      <c r="B33" s="17"/>
      <c r="C33" s="97"/>
      <c r="D33" s="98"/>
      <c r="E33" s="66"/>
      <c r="F33" s="63"/>
      <c r="G33" s="63"/>
      <c r="H33" s="64">
        <f t="shared" si="0"/>
        <v>0</v>
      </c>
      <c r="K33" s="83"/>
      <c r="L33" s="83"/>
      <c r="M33" s="7"/>
      <c r="N33" s="95"/>
      <c r="O33" s="95"/>
      <c r="P33" s="50"/>
      <c r="Q33" s="50"/>
      <c r="R33" s="50"/>
      <c r="S33" s="8"/>
    </row>
    <row r="34" spans="1:20" x14ac:dyDescent="0.4">
      <c r="A34" s="62"/>
      <c r="B34" s="17"/>
      <c r="C34" s="97"/>
      <c r="D34" s="98"/>
      <c r="E34" s="68"/>
      <c r="F34" s="63"/>
      <c r="G34" s="63"/>
      <c r="H34" s="64">
        <f t="shared" si="0"/>
        <v>0</v>
      </c>
      <c r="K34" s="82" t="s">
        <v>45</v>
      </c>
      <c r="L34" s="82"/>
      <c r="M34" s="37"/>
      <c r="N34" s="94"/>
      <c r="O34" s="94"/>
      <c r="P34" s="41"/>
      <c r="Q34" s="41"/>
      <c r="R34" s="41"/>
      <c r="S34" s="20"/>
    </row>
    <row r="35" spans="1:20" x14ac:dyDescent="0.4">
      <c r="A35" s="62"/>
      <c r="B35" s="17"/>
      <c r="C35" s="97"/>
      <c r="D35" s="98"/>
      <c r="E35" s="68"/>
      <c r="F35" s="63"/>
      <c r="G35" s="63"/>
      <c r="H35" s="64">
        <f t="shared" si="0"/>
        <v>0</v>
      </c>
      <c r="K35" s="73" t="s">
        <v>7</v>
      </c>
      <c r="L35" s="73"/>
      <c r="M35" s="73" t="s">
        <v>66</v>
      </c>
      <c r="N35" s="73"/>
      <c r="O35" s="74" t="s">
        <v>6</v>
      </c>
      <c r="P35" s="75"/>
      <c r="Q35" s="9" t="s">
        <v>12</v>
      </c>
      <c r="R35" s="9" t="s">
        <v>72</v>
      </c>
      <c r="S35" s="9" t="s">
        <v>11</v>
      </c>
      <c r="T35" s="54"/>
    </row>
    <row r="36" spans="1:20" x14ac:dyDescent="0.4">
      <c r="A36" s="62"/>
      <c r="B36" s="17"/>
      <c r="C36" s="97"/>
      <c r="D36" s="98"/>
      <c r="E36" s="68"/>
      <c r="F36" s="63"/>
      <c r="G36" s="63"/>
      <c r="H36" s="64">
        <f t="shared" si="0"/>
        <v>0</v>
      </c>
      <c r="K36" s="78">
        <v>46236</v>
      </c>
      <c r="L36" s="79"/>
      <c r="M36" s="74" t="s">
        <v>46</v>
      </c>
      <c r="N36" s="75"/>
      <c r="O36" s="76" t="s">
        <v>61</v>
      </c>
      <c r="P36" s="77"/>
      <c r="Q36" s="9" t="s">
        <v>47</v>
      </c>
      <c r="R36" s="9"/>
      <c r="S36" s="57">
        <v>10000</v>
      </c>
      <c r="T36" s="54"/>
    </row>
    <row r="37" spans="1:20" x14ac:dyDescent="0.4">
      <c r="A37" s="62"/>
      <c r="B37" s="17"/>
      <c r="C37" s="97"/>
      <c r="D37" s="98"/>
      <c r="E37" s="67"/>
      <c r="F37" s="63"/>
      <c r="G37" s="63"/>
      <c r="H37" s="64">
        <f t="shared" si="0"/>
        <v>0</v>
      </c>
      <c r="K37" s="78">
        <v>46236</v>
      </c>
      <c r="L37" s="79"/>
      <c r="M37" s="74" t="s">
        <v>46</v>
      </c>
      <c r="N37" s="75"/>
      <c r="O37" s="76" t="s">
        <v>71</v>
      </c>
      <c r="P37" s="77"/>
      <c r="Q37" s="9" t="s">
        <v>56</v>
      </c>
      <c r="R37" s="9"/>
      <c r="S37" s="57">
        <v>850</v>
      </c>
      <c r="T37" s="54"/>
    </row>
    <row r="38" spans="1:20" x14ac:dyDescent="0.4">
      <c r="A38" s="62"/>
      <c r="B38" s="59"/>
      <c r="C38" s="97"/>
      <c r="D38" s="98"/>
      <c r="E38" s="66"/>
      <c r="F38" s="63"/>
      <c r="G38" s="63"/>
      <c r="H38" s="64">
        <f t="shared" si="0"/>
        <v>0</v>
      </c>
      <c r="K38" s="78">
        <v>46236</v>
      </c>
      <c r="L38" s="79"/>
      <c r="M38" s="74" t="s">
        <v>46</v>
      </c>
      <c r="N38" s="75"/>
      <c r="O38" s="76" t="s">
        <v>62</v>
      </c>
      <c r="P38" s="77"/>
      <c r="Q38" s="9" t="s">
        <v>51</v>
      </c>
      <c r="R38" s="9"/>
      <c r="S38" s="57">
        <v>216</v>
      </c>
      <c r="T38" s="54"/>
    </row>
    <row r="39" spans="1:20" x14ac:dyDescent="0.4">
      <c r="A39" s="62"/>
      <c r="B39" s="59"/>
      <c r="C39" s="97"/>
      <c r="D39" s="98"/>
      <c r="E39" s="66"/>
      <c r="F39" s="63"/>
      <c r="G39" s="63"/>
      <c r="H39" s="64">
        <f t="shared" si="0"/>
        <v>0</v>
      </c>
      <c r="K39" s="78">
        <v>46239</v>
      </c>
      <c r="L39" s="79"/>
      <c r="M39" s="74" t="s">
        <v>48</v>
      </c>
      <c r="N39" s="75"/>
      <c r="O39" s="76" t="s">
        <v>67</v>
      </c>
      <c r="P39" s="77"/>
      <c r="Q39" s="9" t="s">
        <v>47</v>
      </c>
      <c r="R39" s="9"/>
      <c r="S39" s="57">
        <v>2282</v>
      </c>
      <c r="T39" s="54"/>
    </row>
    <row r="40" spans="1:20" x14ac:dyDescent="0.4">
      <c r="A40" s="62"/>
      <c r="B40" s="17"/>
      <c r="C40" s="97"/>
      <c r="D40" s="98"/>
      <c r="E40" s="66"/>
      <c r="F40" s="63"/>
      <c r="G40" s="63"/>
      <c r="H40" s="64">
        <f t="shared" si="0"/>
        <v>0</v>
      </c>
      <c r="K40" s="78">
        <v>46239</v>
      </c>
      <c r="L40" s="79"/>
      <c r="M40" s="74" t="s">
        <v>48</v>
      </c>
      <c r="N40" s="75"/>
      <c r="O40" s="76" t="s">
        <v>70</v>
      </c>
      <c r="P40" s="77"/>
      <c r="Q40" s="9" t="s">
        <v>56</v>
      </c>
      <c r="R40" s="9"/>
      <c r="S40" s="57">
        <v>6250</v>
      </c>
      <c r="T40" s="55"/>
    </row>
    <row r="41" spans="1:20" x14ac:dyDescent="0.4">
      <c r="A41" s="62"/>
      <c r="B41" s="17"/>
      <c r="C41" s="97"/>
      <c r="D41" s="98"/>
      <c r="E41" s="66"/>
      <c r="F41" s="63"/>
      <c r="G41" s="63"/>
      <c r="H41" s="64">
        <f t="shared" si="0"/>
        <v>0</v>
      </c>
      <c r="K41" s="78">
        <v>46242</v>
      </c>
      <c r="L41" s="79"/>
      <c r="M41" s="74" t="s">
        <v>46</v>
      </c>
      <c r="N41" s="75"/>
      <c r="O41" s="76" t="s">
        <v>63</v>
      </c>
      <c r="P41" s="77"/>
      <c r="Q41" s="9" t="s">
        <v>49</v>
      </c>
      <c r="R41" s="9"/>
      <c r="S41" s="58">
        <v>3300</v>
      </c>
      <c r="T41" s="55"/>
    </row>
    <row r="42" spans="1:20" x14ac:dyDescent="0.4">
      <c r="A42" s="62"/>
      <c r="B42" s="59"/>
      <c r="C42" s="97"/>
      <c r="D42" s="98"/>
      <c r="E42" s="66"/>
      <c r="F42" s="63"/>
      <c r="G42" s="63"/>
      <c r="H42" s="64">
        <f t="shared" si="0"/>
        <v>0</v>
      </c>
      <c r="K42" s="78">
        <v>46243</v>
      </c>
      <c r="L42" s="79"/>
      <c r="M42" s="74" t="s">
        <v>46</v>
      </c>
      <c r="N42" s="75"/>
      <c r="O42" s="76" t="s">
        <v>68</v>
      </c>
      <c r="P42" s="77"/>
      <c r="Q42" s="9" t="s">
        <v>49</v>
      </c>
      <c r="R42" s="9"/>
      <c r="S42" s="58">
        <v>19800</v>
      </c>
      <c r="T42" s="55"/>
    </row>
    <row r="43" spans="1:20" x14ac:dyDescent="0.4">
      <c r="A43" s="62"/>
      <c r="B43" s="59"/>
      <c r="C43" s="97"/>
      <c r="D43" s="98"/>
      <c r="E43" s="66"/>
      <c r="F43" s="63"/>
      <c r="G43" s="63"/>
      <c r="H43" s="64">
        <f t="shared" si="0"/>
        <v>0</v>
      </c>
      <c r="K43" s="78">
        <v>46243</v>
      </c>
      <c r="L43" s="79"/>
      <c r="M43" s="74" t="s">
        <v>46</v>
      </c>
      <c r="N43" s="75"/>
      <c r="O43" s="76" t="s">
        <v>64</v>
      </c>
      <c r="P43" s="77"/>
      <c r="Q43" s="4" t="s">
        <v>51</v>
      </c>
      <c r="R43" s="4"/>
      <c r="S43" s="58">
        <v>108</v>
      </c>
      <c r="T43" s="55"/>
    </row>
    <row r="44" spans="1:20" x14ac:dyDescent="0.4">
      <c r="A44" s="61"/>
      <c r="B44" s="17"/>
      <c r="C44" s="97"/>
      <c r="D44" s="98"/>
      <c r="E44" s="38"/>
      <c r="F44" s="63"/>
      <c r="G44" s="63"/>
      <c r="H44" s="64">
        <f t="shared" si="0"/>
        <v>0</v>
      </c>
      <c r="K44" s="78">
        <v>46251</v>
      </c>
      <c r="L44" s="79"/>
      <c r="M44" s="74" t="s">
        <v>32</v>
      </c>
      <c r="N44" s="75"/>
      <c r="O44" s="76" t="s">
        <v>65</v>
      </c>
      <c r="P44" s="77"/>
      <c r="Q44" s="9" t="s">
        <v>56</v>
      </c>
      <c r="R44" s="9"/>
      <c r="S44" s="58">
        <v>400</v>
      </c>
      <c r="T44" s="55"/>
    </row>
    <row r="45" spans="1:20" x14ac:dyDescent="0.4">
      <c r="A45" s="2" t="s">
        <v>15</v>
      </c>
      <c r="B45" s="2"/>
      <c r="C45" s="21"/>
      <c r="D45" s="22"/>
      <c r="E45" s="2"/>
      <c r="F45" s="65">
        <f>SUM(F5:F44)</f>
        <v>0</v>
      </c>
      <c r="G45" s="65">
        <f>SUM(G5:G44)</f>
        <v>0</v>
      </c>
      <c r="H45" s="65">
        <f>H4+F45-G45</f>
        <v>0</v>
      </c>
      <c r="K45" s="80">
        <v>46260</v>
      </c>
      <c r="L45" s="80"/>
      <c r="M45" s="74" t="s">
        <v>50</v>
      </c>
      <c r="N45" s="75"/>
      <c r="O45" s="76" t="s">
        <v>69</v>
      </c>
      <c r="P45" s="77"/>
      <c r="Q45" s="9" t="s">
        <v>49</v>
      </c>
      <c r="R45" s="9"/>
      <c r="S45" s="58">
        <v>3300</v>
      </c>
      <c r="T45" s="56"/>
    </row>
  </sheetData>
  <sheetProtection algorithmName="SHA-512" hashValue="OxgMgsnZafuEVTjTjrkdopPBe6jVF9rEXpl9+n7SCBAewTTb1CKWDnemHqLNQlTozmqwhZ62vMZm3pJHNGgZtQ==" saltValue="hFjt7i4RPsjezOAqFdlxOA==" spinCount="100000" sheet="1" formatCells="0" formatColumns="0" formatRows="0" autoFilter="0" pivotTables="0"/>
  <mergeCells count="86">
    <mergeCell ref="K41:L41"/>
    <mergeCell ref="K42:L42"/>
    <mergeCell ref="K43:L43"/>
    <mergeCell ref="K36:L36"/>
    <mergeCell ref="K37:L37"/>
    <mergeCell ref="K38:L38"/>
    <mergeCell ref="K39:L39"/>
    <mergeCell ref="K40:L40"/>
    <mergeCell ref="C44:D4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5:D5"/>
    <mergeCell ref="C6:D6"/>
    <mergeCell ref="C7:D7"/>
    <mergeCell ref="C8:D8"/>
    <mergeCell ref="C9:D9"/>
    <mergeCell ref="C2:D3"/>
    <mergeCell ref="H2:H3"/>
    <mergeCell ref="N34:O34"/>
    <mergeCell ref="E2:E3"/>
    <mergeCell ref="N33:O33"/>
    <mergeCell ref="C4:D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M41:N41"/>
    <mergeCell ref="M42:N42"/>
    <mergeCell ref="M43:N43"/>
    <mergeCell ref="M44:N44"/>
    <mergeCell ref="A1:B1"/>
    <mergeCell ref="K34:L34"/>
    <mergeCell ref="K33:L33"/>
    <mergeCell ref="C20:D20"/>
    <mergeCell ref="C21:D21"/>
    <mergeCell ref="C22:D22"/>
    <mergeCell ref="C23:D23"/>
    <mergeCell ref="C24:D24"/>
    <mergeCell ref="A2:A3"/>
    <mergeCell ref="G2:G3"/>
    <mergeCell ref="F2:F3"/>
    <mergeCell ref="B2:B3"/>
    <mergeCell ref="M36:N36"/>
    <mergeCell ref="M37:N37"/>
    <mergeCell ref="M38:N38"/>
    <mergeCell ref="M39:N39"/>
    <mergeCell ref="M40:N40"/>
    <mergeCell ref="M35:N35"/>
    <mergeCell ref="K35:L35"/>
    <mergeCell ref="O35:P35"/>
    <mergeCell ref="M45:N45"/>
    <mergeCell ref="O38:P38"/>
    <mergeCell ref="O39:P39"/>
    <mergeCell ref="O40:P40"/>
    <mergeCell ref="O41:P41"/>
    <mergeCell ref="O42:P42"/>
    <mergeCell ref="O45:P45"/>
    <mergeCell ref="O44:P44"/>
    <mergeCell ref="O43:P43"/>
    <mergeCell ref="O37:P37"/>
    <mergeCell ref="O36:P36"/>
    <mergeCell ref="K44:L44"/>
    <mergeCell ref="K45:L45"/>
  </mergeCells>
  <phoneticPr fontId="18"/>
  <printOptions horizontalCentered="1"/>
  <pageMargins left="0.27559055118110237" right="0.27559055118110237" top="0.35433070866141736" bottom="0.35433070866141736" header="0" footer="0.31496062992125984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view="pageBreakPreview" zoomScaleNormal="100" zoomScaleSheetLayoutView="100" workbookViewId="0">
      <selection activeCell="F12" sqref="F12"/>
    </sheetView>
  </sheetViews>
  <sheetFormatPr defaultRowHeight="18.75" x14ac:dyDescent="0.4"/>
  <cols>
    <col min="4" max="4" width="11.375" style="1" bestFit="1" customWidth="1"/>
    <col min="5" max="5" width="9" style="1"/>
    <col min="8" max="8" width="10.625" style="1" customWidth="1"/>
    <col min="11" max="11" width="9" style="1"/>
    <col min="14" max="14" width="9" style="1"/>
    <col min="17" max="17" width="22.875" customWidth="1"/>
    <col min="20" max="25" width="9" style="1"/>
  </cols>
  <sheetData>
    <row r="1" spans="1:25" x14ac:dyDescent="0.4">
      <c r="A1" s="83" t="str">
        <f>現金帳!A1</f>
        <v>現金出納帳帳</v>
      </c>
      <c r="B1" s="83"/>
      <c r="C1" s="40" t="str">
        <f>現金帳!C1</f>
        <v>R8.09月</v>
      </c>
      <c r="D1" s="6"/>
      <c r="E1" s="7"/>
      <c r="F1" s="8"/>
    </row>
    <row r="2" spans="1:25" x14ac:dyDescent="0.4">
      <c r="A2" s="5"/>
      <c r="B2" s="5"/>
      <c r="C2" s="6"/>
      <c r="D2" s="6"/>
      <c r="E2" s="7"/>
      <c r="F2" s="8"/>
    </row>
    <row r="3" spans="1:25" s="1" customFormat="1" x14ac:dyDescent="0.4">
      <c r="A3" s="73"/>
      <c r="B3" s="73"/>
      <c r="C3" s="99"/>
      <c r="D3" s="101" t="s">
        <v>7</v>
      </c>
      <c r="E3" s="73" t="s">
        <v>3</v>
      </c>
      <c r="F3" s="103"/>
      <c r="G3" s="99"/>
      <c r="H3" s="99" t="s">
        <v>4</v>
      </c>
      <c r="I3" s="99" t="s">
        <v>5</v>
      </c>
      <c r="J3" s="99"/>
      <c r="K3" s="99" t="s">
        <v>3</v>
      </c>
      <c r="L3" s="99"/>
      <c r="M3" s="99"/>
      <c r="N3" s="99" t="s">
        <v>4</v>
      </c>
      <c r="O3" s="99" t="s">
        <v>5</v>
      </c>
      <c r="P3" s="99"/>
      <c r="Q3" s="99" t="s">
        <v>6</v>
      </c>
      <c r="R3" s="99"/>
      <c r="S3" s="99"/>
      <c r="T3" s="99"/>
      <c r="U3" s="99"/>
      <c r="V3" s="99"/>
      <c r="W3" s="99"/>
      <c r="X3" s="99"/>
      <c r="Y3" s="99"/>
    </row>
    <row r="4" spans="1:25" x14ac:dyDescent="0.4">
      <c r="A4" s="73"/>
      <c r="B4" s="73"/>
      <c r="C4" s="100"/>
      <c r="D4" s="102"/>
      <c r="E4" s="73"/>
      <c r="F4" s="104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x14ac:dyDescent="0.4">
      <c r="A5" s="19">
        <v>2000</v>
      </c>
      <c r="B5" s="4"/>
      <c r="C5" s="4"/>
      <c r="D5" s="10">
        <f>現金帳!A5</f>
        <v>0</v>
      </c>
      <c r="E5" s="39">
        <f>現金帳!B5</f>
        <v>0</v>
      </c>
      <c r="F5" s="4"/>
      <c r="G5" s="4"/>
      <c r="H5" s="2">
        <f>現金帳!E5</f>
        <v>0</v>
      </c>
      <c r="I5" s="11">
        <f>現金帳!G5</f>
        <v>0</v>
      </c>
      <c r="J5" s="4"/>
      <c r="K5" s="9" t="s">
        <v>8</v>
      </c>
      <c r="L5" s="4"/>
      <c r="M5" s="4"/>
      <c r="N5" s="9" t="s">
        <v>0</v>
      </c>
      <c r="O5" s="12">
        <f>I5</f>
        <v>0</v>
      </c>
      <c r="P5" s="4"/>
      <c r="Q5" s="3">
        <f>現金帳!C5</f>
        <v>0</v>
      </c>
      <c r="R5" s="4"/>
      <c r="S5" s="4"/>
      <c r="T5" s="9">
        <v>0</v>
      </c>
      <c r="U5" s="9"/>
      <c r="V5" s="9"/>
      <c r="W5" s="9"/>
      <c r="X5" s="9"/>
      <c r="Y5" s="9" t="s">
        <v>1</v>
      </c>
    </row>
    <row r="6" spans="1:25" x14ac:dyDescent="0.4">
      <c r="A6" s="19">
        <v>2000</v>
      </c>
      <c r="B6" s="4"/>
      <c r="C6" s="4"/>
      <c r="D6" s="10">
        <f>現金帳!A6</f>
        <v>0</v>
      </c>
      <c r="E6" s="39">
        <f>現金帳!B6</f>
        <v>0</v>
      </c>
      <c r="F6" s="4"/>
      <c r="G6" s="4"/>
      <c r="H6" s="2">
        <f>現金帳!E6</f>
        <v>0</v>
      </c>
      <c r="I6" s="11">
        <f>現金帳!G6</f>
        <v>0</v>
      </c>
      <c r="J6" s="4"/>
      <c r="K6" s="9" t="s">
        <v>8</v>
      </c>
      <c r="L6" s="4"/>
      <c r="M6" s="4"/>
      <c r="N6" s="9" t="s">
        <v>0</v>
      </c>
      <c r="O6" s="12">
        <f t="shared" ref="O6:O44" si="0">I6</f>
        <v>0</v>
      </c>
      <c r="P6" s="4"/>
      <c r="Q6" s="3">
        <f>現金帳!C6</f>
        <v>0</v>
      </c>
      <c r="R6" s="4"/>
      <c r="S6" s="4"/>
      <c r="T6" s="9">
        <v>0</v>
      </c>
      <c r="U6" s="9"/>
      <c r="V6" s="9"/>
      <c r="W6" s="9"/>
      <c r="X6" s="9"/>
      <c r="Y6" s="9" t="s">
        <v>1</v>
      </c>
    </row>
    <row r="7" spans="1:25" x14ac:dyDescent="0.4">
      <c r="A7" s="19">
        <v>2000</v>
      </c>
      <c r="B7" s="4"/>
      <c r="C7" s="4"/>
      <c r="D7" s="10">
        <f>現金帳!A7</f>
        <v>0</v>
      </c>
      <c r="E7" s="39">
        <f>現金帳!B7</f>
        <v>0</v>
      </c>
      <c r="F7" s="4"/>
      <c r="G7" s="4"/>
      <c r="H7" s="2">
        <f>現金帳!E7</f>
        <v>0</v>
      </c>
      <c r="I7" s="11">
        <f>現金帳!G7</f>
        <v>0</v>
      </c>
      <c r="J7" s="4"/>
      <c r="K7" s="9" t="s">
        <v>8</v>
      </c>
      <c r="L7" s="4"/>
      <c r="M7" s="4"/>
      <c r="N7" s="9" t="s">
        <v>0</v>
      </c>
      <c r="O7" s="12">
        <f t="shared" si="0"/>
        <v>0</v>
      </c>
      <c r="P7" s="4"/>
      <c r="Q7" s="3">
        <f>現金帳!C7</f>
        <v>0</v>
      </c>
      <c r="R7" s="4"/>
      <c r="S7" s="4"/>
      <c r="T7" s="9">
        <v>0</v>
      </c>
      <c r="U7" s="9"/>
      <c r="V7" s="9"/>
      <c r="W7" s="9"/>
      <c r="X7" s="9"/>
      <c r="Y7" s="9" t="s">
        <v>1</v>
      </c>
    </row>
    <row r="8" spans="1:25" x14ac:dyDescent="0.4">
      <c r="A8" s="19">
        <v>2000</v>
      </c>
      <c r="B8" s="4"/>
      <c r="C8" s="4"/>
      <c r="D8" s="10">
        <f>現金帳!A8</f>
        <v>0</v>
      </c>
      <c r="E8" s="39">
        <f>現金帳!B8</f>
        <v>0</v>
      </c>
      <c r="F8" s="4"/>
      <c r="G8" s="4"/>
      <c r="H8" s="2">
        <f>現金帳!E8</f>
        <v>0</v>
      </c>
      <c r="I8" s="11">
        <f>現金帳!G8</f>
        <v>0</v>
      </c>
      <c r="J8" s="4"/>
      <c r="K8" s="9" t="s">
        <v>8</v>
      </c>
      <c r="L8" s="4"/>
      <c r="M8" s="4"/>
      <c r="N8" s="9" t="s">
        <v>0</v>
      </c>
      <c r="O8" s="12">
        <f t="shared" si="0"/>
        <v>0</v>
      </c>
      <c r="P8" s="4"/>
      <c r="Q8" s="3">
        <f>現金帳!C8</f>
        <v>0</v>
      </c>
      <c r="R8" s="4"/>
      <c r="S8" s="4"/>
      <c r="T8" s="9">
        <v>0</v>
      </c>
      <c r="U8" s="9"/>
      <c r="V8" s="9"/>
      <c r="W8" s="9"/>
      <c r="X8" s="9"/>
      <c r="Y8" s="9" t="s">
        <v>1</v>
      </c>
    </row>
    <row r="9" spans="1:25" x14ac:dyDescent="0.4">
      <c r="A9" s="19">
        <v>2000</v>
      </c>
      <c r="B9" s="4"/>
      <c r="C9" s="4"/>
      <c r="D9" s="10">
        <f>現金帳!A9</f>
        <v>0</v>
      </c>
      <c r="E9" s="39">
        <f>現金帳!B9</f>
        <v>0</v>
      </c>
      <c r="F9" s="4"/>
      <c r="G9" s="4"/>
      <c r="H9" s="2">
        <f>現金帳!E9</f>
        <v>0</v>
      </c>
      <c r="I9" s="11">
        <f>現金帳!G9</f>
        <v>0</v>
      </c>
      <c r="J9" s="4"/>
      <c r="K9" s="9" t="s">
        <v>8</v>
      </c>
      <c r="L9" s="4"/>
      <c r="M9" s="4"/>
      <c r="N9" s="9" t="s">
        <v>0</v>
      </c>
      <c r="O9" s="12">
        <f t="shared" si="0"/>
        <v>0</v>
      </c>
      <c r="P9" s="4"/>
      <c r="Q9" s="3">
        <f>現金帳!C9</f>
        <v>0</v>
      </c>
      <c r="R9" s="4"/>
      <c r="S9" s="4"/>
      <c r="T9" s="9">
        <v>0</v>
      </c>
      <c r="U9" s="9"/>
      <c r="V9" s="9"/>
      <c r="W9" s="9"/>
      <c r="X9" s="9"/>
      <c r="Y9" s="9" t="s">
        <v>1</v>
      </c>
    </row>
    <row r="10" spans="1:25" x14ac:dyDescent="0.4">
      <c r="A10" s="19">
        <v>2000</v>
      </c>
      <c r="B10" s="4"/>
      <c r="C10" s="4"/>
      <c r="D10" s="10">
        <f>現金帳!A10</f>
        <v>0</v>
      </c>
      <c r="E10" s="39">
        <f>現金帳!B10</f>
        <v>0</v>
      </c>
      <c r="F10" s="4"/>
      <c r="G10" s="4"/>
      <c r="H10" s="2">
        <f>現金帳!E10</f>
        <v>0</v>
      </c>
      <c r="I10" s="11">
        <f>現金帳!G10</f>
        <v>0</v>
      </c>
      <c r="J10" s="4"/>
      <c r="K10" s="9" t="s">
        <v>8</v>
      </c>
      <c r="L10" s="4"/>
      <c r="M10" s="4"/>
      <c r="N10" s="9" t="s">
        <v>0</v>
      </c>
      <c r="O10" s="12">
        <f t="shared" si="0"/>
        <v>0</v>
      </c>
      <c r="P10" s="4"/>
      <c r="Q10" s="3">
        <f>現金帳!C10</f>
        <v>0</v>
      </c>
      <c r="R10" s="4"/>
      <c r="S10" s="4"/>
      <c r="T10" s="9">
        <v>0</v>
      </c>
      <c r="U10" s="9"/>
      <c r="V10" s="9"/>
      <c r="W10" s="9"/>
      <c r="X10" s="9"/>
      <c r="Y10" s="9" t="s">
        <v>1</v>
      </c>
    </row>
    <row r="11" spans="1:25" x14ac:dyDescent="0.4">
      <c r="A11" s="19">
        <v>2000</v>
      </c>
      <c r="B11" s="4"/>
      <c r="C11" s="4"/>
      <c r="D11" s="10">
        <f>現金帳!A11</f>
        <v>0</v>
      </c>
      <c r="E11" s="39">
        <f>現金帳!B11</f>
        <v>0</v>
      </c>
      <c r="F11" s="4"/>
      <c r="G11" s="4"/>
      <c r="H11" s="2">
        <f>現金帳!E11</f>
        <v>0</v>
      </c>
      <c r="I11" s="11">
        <f>現金帳!G11</f>
        <v>0</v>
      </c>
      <c r="J11" s="4"/>
      <c r="K11" s="9" t="s">
        <v>8</v>
      </c>
      <c r="L11" s="4"/>
      <c r="M11" s="4"/>
      <c r="N11" s="9" t="s">
        <v>0</v>
      </c>
      <c r="O11" s="12">
        <f t="shared" si="0"/>
        <v>0</v>
      </c>
      <c r="P11" s="4"/>
      <c r="Q11" s="3">
        <f>現金帳!C11</f>
        <v>0</v>
      </c>
      <c r="R11" s="4"/>
      <c r="S11" s="4"/>
      <c r="T11" s="9">
        <v>0</v>
      </c>
      <c r="U11" s="9"/>
      <c r="V11" s="9"/>
      <c r="W11" s="9"/>
      <c r="X11" s="9"/>
      <c r="Y11" s="9" t="s">
        <v>1</v>
      </c>
    </row>
    <row r="12" spans="1:25" x14ac:dyDescent="0.4">
      <c r="A12" s="19">
        <v>2000</v>
      </c>
      <c r="B12" s="4"/>
      <c r="C12" s="4"/>
      <c r="D12" s="10">
        <f>現金帳!A12</f>
        <v>0</v>
      </c>
      <c r="E12" s="39">
        <f>現金帳!B12</f>
        <v>0</v>
      </c>
      <c r="F12" s="4"/>
      <c r="G12" s="4"/>
      <c r="H12" s="2">
        <f>現金帳!E12</f>
        <v>0</v>
      </c>
      <c r="I12" s="11">
        <f>現金帳!G12</f>
        <v>0</v>
      </c>
      <c r="J12" s="4"/>
      <c r="K12" s="9" t="s">
        <v>8</v>
      </c>
      <c r="L12" s="4"/>
      <c r="M12" s="4"/>
      <c r="N12" s="9" t="s">
        <v>0</v>
      </c>
      <c r="O12" s="12">
        <f t="shared" si="0"/>
        <v>0</v>
      </c>
      <c r="P12" s="4"/>
      <c r="Q12" s="3">
        <f>現金帳!C12</f>
        <v>0</v>
      </c>
      <c r="R12" s="4"/>
      <c r="S12" s="4"/>
      <c r="T12" s="9">
        <v>0</v>
      </c>
      <c r="U12" s="9"/>
      <c r="V12" s="9"/>
      <c r="W12" s="9"/>
      <c r="X12" s="9"/>
      <c r="Y12" s="9" t="s">
        <v>1</v>
      </c>
    </row>
    <row r="13" spans="1:25" x14ac:dyDescent="0.4">
      <c r="A13" s="19">
        <v>2000</v>
      </c>
      <c r="B13" s="4"/>
      <c r="C13" s="4"/>
      <c r="D13" s="10">
        <f>現金帳!A13</f>
        <v>0</v>
      </c>
      <c r="E13" s="39">
        <f>現金帳!B13</f>
        <v>0</v>
      </c>
      <c r="F13" s="4"/>
      <c r="G13" s="4"/>
      <c r="H13" s="2">
        <f>現金帳!E13</f>
        <v>0</v>
      </c>
      <c r="I13" s="11">
        <f>現金帳!G13</f>
        <v>0</v>
      </c>
      <c r="J13" s="4"/>
      <c r="K13" s="9" t="s">
        <v>8</v>
      </c>
      <c r="L13" s="4"/>
      <c r="M13" s="4"/>
      <c r="N13" s="9" t="s">
        <v>0</v>
      </c>
      <c r="O13" s="12">
        <f t="shared" si="0"/>
        <v>0</v>
      </c>
      <c r="P13" s="4"/>
      <c r="Q13" s="3">
        <f>現金帳!C13</f>
        <v>0</v>
      </c>
      <c r="R13" s="4"/>
      <c r="S13" s="4"/>
      <c r="T13" s="9">
        <v>0</v>
      </c>
      <c r="U13" s="9"/>
      <c r="V13" s="9"/>
      <c r="W13" s="9"/>
      <c r="X13" s="9"/>
      <c r="Y13" s="9" t="s">
        <v>1</v>
      </c>
    </row>
    <row r="14" spans="1:25" x14ac:dyDescent="0.4">
      <c r="A14" s="19">
        <v>2000</v>
      </c>
      <c r="B14" s="4"/>
      <c r="C14" s="4"/>
      <c r="D14" s="10">
        <f>現金帳!A14</f>
        <v>0</v>
      </c>
      <c r="E14" s="39">
        <f>現金帳!B14</f>
        <v>0</v>
      </c>
      <c r="F14" s="4"/>
      <c r="G14" s="4"/>
      <c r="H14" s="2">
        <f>現金帳!E14</f>
        <v>0</v>
      </c>
      <c r="I14" s="11">
        <f>現金帳!G14</f>
        <v>0</v>
      </c>
      <c r="J14" s="4"/>
      <c r="K14" s="9" t="s">
        <v>8</v>
      </c>
      <c r="L14" s="4"/>
      <c r="M14" s="4"/>
      <c r="N14" s="9" t="s">
        <v>0</v>
      </c>
      <c r="O14" s="12">
        <f t="shared" si="0"/>
        <v>0</v>
      </c>
      <c r="P14" s="4"/>
      <c r="Q14" s="3">
        <f>現金帳!C14</f>
        <v>0</v>
      </c>
      <c r="R14" s="4"/>
      <c r="S14" s="4"/>
      <c r="T14" s="9">
        <v>0</v>
      </c>
      <c r="U14" s="9"/>
      <c r="V14" s="9"/>
      <c r="W14" s="9"/>
      <c r="X14" s="9"/>
      <c r="Y14" s="9" t="s">
        <v>1</v>
      </c>
    </row>
    <row r="15" spans="1:25" x14ac:dyDescent="0.4">
      <c r="A15" s="19">
        <v>2000</v>
      </c>
      <c r="B15" s="4"/>
      <c r="C15" s="4"/>
      <c r="D15" s="10">
        <f>現金帳!A15</f>
        <v>0</v>
      </c>
      <c r="E15" s="39">
        <f>現金帳!B15</f>
        <v>0</v>
      </c>
      <c r="F15" s="4"/>
      <c r="G15" s="4"/>
      <c r="H15" s="2">
        <f>現金帳!E15</f>
        <v>0</v>
      </c>
      <c r="I15" s="11">
        <f>現金帳!G15</f>
        <v>0</v>
      </c>
      <c r="J15" s="4"/>
      <c r="K15" s="9" t="s">
        <v>8</v>
      </c>
      <c r="L15" s="4"/>
      <c r="M15" s="4"/>
      <c r="N15" s="9" t="s">
        <v>0</v>
      </c>
      <c r="O15" s="12">
        <f t="shared" si="0"/>
        <v>0</v>
      </c>
      <c r="P15" s="4"/>
      <c r="Q15" s="3">
        <f>現金帳!C15</f>
        <v>0</v>
      </c>
      <c r="R15" s="4"/>
      <c r="S15" s="4"/>
      <c r="T15" s="9">
        <v>0</v>
      </c>
      <c r="U15" s="9"/>
      <c r="V15" s="9"/>
      <c r="W15" s="9"/>
      <c r="X15" s="9"/>
      <c r="Y15" s="9" t="s">
        <v>1</v>
      </c>
    </row>
    <row r="16" spans="1:25" x14ac:dyDescent="0.4">
      <c r="A16" s="19">
        <v>2000</v>
      </c>
      <c r="B16" s="4"/>
      <c r="C16" s="4"/>
      <c r="D16" s="10">
        <f>現金帳!A16</f>
        <v>0</v>
      </c>
      <c r="E16" s="39">
        <f>現金帳!B16</f>
        <v>0</v>
      </c>
      <c r="F16" s="4"/>
      <c r="G16" s="4"/>
      <c r="H16" s="2">
        <f>現金帳!E16</f>
        <v>0</v>
      </c>
      <c r="I16" s="11">
        <f>現金帳!G16</f>
        <v>0</v>
      </c>
      <c r="J16" s="4"/>
      <c r="K16" s="9" t="s">
        <v>8</v>
      </c>
      <c r="L16" s="4"/>
      <c r="M16" s="4"/>
      <c r="N16" s="9" t="s">
        <v>0</v>
      </c>
      <c r="O16" s="12">
        <f t="shared" si="0"/>
        <v>0</v>
      </c>
      <c r="P16" s="4"/>
      <c r="Q16" s="3">
        <f>現金帳!C16</f>
        <v>0</v>
      </c>
      <c r="R16" s="4"/>
      <c r="S16" s="4"/>
      <c r="T16" s="9">
        <v>0</v>
      </c>
      <c r="U16" s="9"/>
      <c r="V16" s="9"/>
      <c r="W16" s="9"/>
      <c r="X16" s="9"/>
      <c r="Y16" s="9" t="s">
        <v>1</v>
      </c>
    </row>
    <row r="17" spans="1:25" x14ac:dyDescent="0.4">
      <c r="A17" s="19">
        <v>2000</v>
      </c>
      <c r="B17" s="4"/>
      <c r="C17" s="4"/>
      <c r="D17" s="10">
        <f>現金帳!A17</f>
        <v>0</v>
      </c>
      <c r="E17" s="39">
        <f>現金帳!B17</f>
        <v>0</v>
      </c>
      <c r="F17" s="4"/>
      <c r="G17" s="4"/>
      <c r="H17" s="2">
        <f>現金帳!E17</f>
        <v>0</v>
      </c>
      <c r="I17" s="11">
        <f>現金帳!G17</f>
        <v>0</v>
      </c>
      <c r="J17" s="4"/>
      <c r="K17" s="9" t="s">
        <v>8</v>
      </c>
      <c r="L17" s="4"/>
      <c r="M17" s="4"/>
      <c r="N17" s="9" t="s">
        <v>0</v>
      </c>
      <c r="O17" s="12">
        <f t="shared" si="0"/>
        <v>0</v>
      </c>
      <c r="P17" s="4"/>
      <c r="Q17" s="3">
        <f>現金帳!C17</f>
        <v>0</v>
      </c>
      <c r="R17" s="4"/>
      <c r="S17" s="4"/>
      <c r="T17" s="9">
        <v>0</v>
      </c>
      <c r="U17" s="9"/>
      <c r="V17" s="9"/>
      <c r="W17" s="9"/>
      <c r="X17" s="9"/>
      <c r="Y17" s="9" t="s">
        <v>1</v>
      </c>
    </row>
    <row r="18" spans="1:25" x14ac:dyDescent="0.4">
      <c r="A18" s="19">
        <v>2000</v>
      </c>
      <c r="B18" s="4"/>
      <c r="C18" s="4"/>
      <c r="D18" s="10">
        <f>現金帳!A18</f>
        <v>0</v>
      </c>
      <c r="E18" s="39">
        <f>現金帳!B18</f>
        <v>0</v>
      </c>
      <c r="F18" s="4"/>
      <c r="G18" s="4"/>
      <c r="H18" s="2">
        <f>現金帳!E18</f>
        <v>0</v>
      </c>
      <c r="I18" s="11">
        <f>現金帳!G18</f>
        <v>0</v>
      </c>
      <c r="J18" s="4"/>
      <c r="K18" s="9" t="s">
        <v>8</v>
      </c>
      <c r="L18" s="4"/>
      <c r="M18" s="4"/>
      <c r="N18" s="9" t="s">
        <v>0</v>
      </c>
      <c r="O18" s="12">
        <f t="shared" si="0"/>
        <v>0</v>
      </c>
      <c r="P18" s="4"/>
      <c r="Q18" s="3">
        <f>現金帳!C18</f>
        <v>0</v>
      </c>
      <c r="R18" s="4"/>
      <c r="S18" s="4"/>
      <c r="T18" s="9">
        <v>0</v>
      </c>
      <c r="U18" s="9"/>
      <c r="V18" s="9"/>
      <c r="W18" s="9"/>
      <c r="X18" s="9"/>
      <c r="Y18" s="9" t="s">
        <v>1</v>
      </c>
    </row>
    <row r="19" spans="1:25" x14ac:dyDescent="0.4">
      <c r="A19" s="19">
        <v>2000</v>
      </c>
      <c r="B19" s="4"/>
      <c r="C19" s="4"/>
      <c r="D19" s="10">
        <f>現金帳!A19</f>
        <v>0</v>
      </c>
      <c r="E19" s="39">
        <f>現金帳!B19</f>
        <v>0</v>
      </c>
      <c r="F19" s="4"/>
      <c r="G19" s="4"/>
      <c r="H19" s="2">
        <f>現金帳!E19</f>
        <v>0</v>
      </c>
      <c r="I19" s="11">
        <f>現金帳!G19</f>
        <v>0</v>
      </c>
      <c r="J19" s="4"/>
      <c r="K19" s="9" t="s">
        <v>8</v>
      </c>
      <c r="L19" s="4"/>
      <c r="M19" s="4"/>
      <c r="N19" s="9" t="s">
        <v>0</v>
      </c>
      <c r="O19" s="12">
        <f t="shared" si="0"/>
        <v>0</v>
      </c>
      <c r="P19" s="4"/>
      <c r="Q19" s="3">
        <f>現金帳!C19</f>
        <v>0</v>
      </c>
      <c r="R19" s="4"/>
      <c r="S19" s="4"/>
      <c r="T19" s="9">
        <v>0</v>
      </c>
      <c r="U19" s="9"/>
      <c r="V19" s="9"/>
      <c r="W19" s="9"/>
      <c r="X19" s="9"/>
      <c r="Y19" s="9" t="s">
        <v>1</v>
      </c>
    </row>
    <row r="20" spans="1:25" x14ac:dyDescent="0.4">
      <c r="A20" s="19">
        <v>2000</v>
      </c>
      <c r="B20" s="4"/>
      <c r="C20" s="4"/>
      <c r="D20" s="10">
        <f>現金帳!A20</f>
        <v>0</v>
      </c>
      <c r="E20" s="39">
        <f>現金帳!B20</f>
        <v>0</v>
      </c>
      <c r="F20" s="4"/>
      <c r="G20" s="4"/>
      <c r="H20" s="2">
        <f>現金帳!E20</f>
        <v>0</v>
      </c>
      <c r="I20" s="11">
        <f>現金帳!G20</f>
        <v>0</v>
      </c>
      <c r="J20" s="4"/>
      <c r="K20" s="9" t="s">
        <v>8</v>
      </c>
      <c r="L20" s="4"/>
      <c r="M20" s="4"/>
      <c r="N20" s="9" t="s">
        <v>0</v>
      </c>
      <c r="O20" s="12">
        <f t="shared" si="0"/>
        <v>0</v>
      </c>
      <c r="P20" s="4"/>
      <c r="Q20" s="3">
        <f>現金帳!C20</f>
        <v>0</v>
      </c>
      <c r="R20" s="4"/>
      <c r="S20" s="4"/>
      <c r="T20" s="9">
        <v>0</v>
      </c>
      <c r="U20" s="9"/>
      <c r="V20" s="9"/>
      <c r="W20" s="9"/>
      <c r="X20" s="9"/>
      <c r="Y20" s="9" t="s">
        <v>1</v>
      </c>
    </row>
    <row r="21" spans="1:25" x14ac:dyDescent="0.4">
      <c r="A21" s="19">
        <v>2000</v>
      </c>
      <c r="B21" s="4"/>
      <c r="C21" s="4"/>
      <c r="D21" s="10">
        <f>現金帳!A21</f>
        <v>0</v>
      </c>
      <c r="E21" s="39">
        <f>現金帳!B21</f>
        <v>0</v>
      </c>
      <c r="F21" s="4"/>
      <c r="G21" s="4"/>
      <c r="H21" s="2">
        <f>現金帳!E21</f>
        <v>0</v>
      </c>
      <c r="I21" s="11">
        <f>現金帳!G21</f>
        <v>0</v>
      </c>
      <c r="J21" s="4"/>
      <c r="K21" s="9" t="s">
        <v>8</v>
      </c>
      <c r="L21" s="4"/>
      <c r="M21" s="4"/>
      <c r="N21" s="9" t="s">
        <v>0</v>
      </c>
      <c r="O21" s="12">
        <f t="shared" si="0"/>
        <v>0</v>
      </c>
      <c r="P21" s="4"/>
      <c r="Q21" s="3">
        <f>現金帳!C21</f>
        <v>0</v>
      </c>
      <c r="R21" s="4"/>
      <c r="S21" s="4"/>
      <c r="T21" s="9">
        <v>0</v>
      </c>
      <c r="U21" s="9"/>
      <c r="V21" s="9"/>
      <c r="W21" s="9"/>
      <c r="X21" s="9"/>
      <c r="Y21" s="9" t="s">
        <v>1</v>
      </c>
    </row>
    <row r="22" spans="1:25" x14ac:dyDescent="0.4">
      <c r="A22" s="19">
        <v>2000</v>
      </c>
      <c r="B22" s="4"/>
      <c r="C22" s="4"/>
      <c r="D22" s="10">
        <f>現金帳!A22</f>
        <v>0</v>
      </c>
      <c r="E22" s="39">
        <f>現金帳!B22</f>
        <v>0</v>
      </c>
      <c r="F22" s="4"/>
      <c r="G22" s="4"/>
      <c r="H22" s="2">
        <f>現金帳!E22</f>
        <v>0</v>
      </c>
      <c r="I22" s="11">
        <f>現金帳!G22</f>
        <v>0</v>
      </c>
      <c r="J22" s="4"/>
      <c r="K22" s="9" t="s">
        <v>8</v>
      </c>
      <c r="L22" s="4"/>
      <c r="M22" s="4"/>
      <c r="N22" s="9" t="s">
        <v>0</v>
      </c>
      <c r="O22" s="12">
        <f t="shared" si="0"/>
        <v>0</v>
      </c>
      <c r="P22" s="4"/>
      <c r="Q22" s="3">
        <f>現金帳!C22</f>
        <v>0</v>
      </c>
      <c r="R22" s="4"/>
      <c r="S22" s="4"/>
      <c r="T22" s="9">
        <v>0</v>
      </c>
      <c r="U22" s="9"/>
      <c r="V22" s="9"/>
      <c r="W22" s="9"/>
      <c r="X22" s="9"/>
      <c r="Y22" s="9" t="s">
        <v>1</v>
      </c>
    </row>
    <row r="23" spans="1:25" x14ac:dyDescent="0.4">
      <c r="A23" s="9">
        <v>2000</v>
      </c>
      <c r="B23" s="4"/>
      <c r="C23" s="4"/>
      <c r="D23" s="10">
        <f>現金帳!A23</f>
        <v>0</v>
      </c>
      <c r="E23" s="39">
        <f>現金帳!B23</f>
        <v>0</v>
      </c>
      <c r="F23" s="4"/>
      <c r="G23" s="4"/>
      <c r="H23" s="2">
        <f>現金帳!E23</f>
        <v>0</v>
      </c>
      <c r="I23" s="11">
        <f>現金帳!G23</f>
        <v>0</v>
      </c>
      <c r="J23" s="4"/>
      <c r="K23" s="9" t="s">
        <v>8</v>
      </c>
      <c r="L23" s="4"/>
      <c r="M23" s="4"/>
      <c r="N23" s="9" t="s">
        <v>0</v>
      </c>
      <c r="O23" s="12">
        <f t="shared" si="0"/>
        <v>0</v>
      </c>
      <c r="P23" s="4"/>
      <c r="Q23" s="3">
        <f>現金帳!C23</f>
        <v>0</v>
      </c>
      <c r="R23" s="4"/>
      <c r="S23" s="4"/>
      <c r="T23" s="9">
        <v>0</v>
      </c>
      <c r="U23" s="9"/>
      <c r="V23" s="9"/>
      <c r="W23" s="9"/>
      <c r="X23" s="9"/>
      <c r="Y23" s="9" t="s">
        <v>1</v>
      </c>
    </row>
    <row r="24" spans="1:25" x14ac:dyDescent="0.4">
      <c r="A24" s="9">
        <v>2000</v>
      </c>
      <c r="B24" s="4"/>
      <c r="C24" s="4"/>
      <c r="D24" s="10">
        <f>現金帳!A24</f>
        <v>0</v>
      </c>
      <c r="E24" s="39">
        <f>現金帳!B24</f>
        <v>0</v>
      </c>
      <c r="F24" s="4"/>
      <c r="G24" s="4"/>
      <c r="H24" s="2">
        <f>現金帳!E24</f>
        <v>0</v>
      </c>
      <c r="I24" s="11">
        <f>現金帳!G24</f>
        <v>0</v>
      </c>
      <c r="J24" s="4"/>
      <c r="K24" s="9" t="s">
        <v>8</v>
      </c>
      <c r="L24" s="4"/>
      <c r="M24" s="4"/>
      <c r="N24" s="9" t="s">
        <v>0</v>
      </c>
      <c r="O24" s="12">
        <f t="shared" si="0"/>
        <v>0</v>
      </c>
      <c r="P24" s="4"/>
      <c r="Q24" s="3">
        <f>現金帳!C24</f>
        <v>0</v>
      </c>
      <c r="R24" s="4"/>
      <c r="S24" s="4"/>
      <c r="T24" s="9">
        <v>0</v>
      </c>
      <c r="U24" s="9"/>
      <c r="V24" s="9"/>
      <c r="W24" s="9"/>
      <c r="X24" s="9"/>
      <c r="Y24" s="9" t="s">
        <v>1</v>
      </c>
    </row>
    <row r="25" spans="1:25" x14ac:dyDescent="0.4">
      <c r="A25" s="9">
        <v>2000</v>
      </c>
      <c r="B25" s="4"/>
      <c r="C25" s="4"/>
      <c r="D25" s="10">
        <f>現金帳!A25</f>
        <v>0</v>
      </c>
      <c r="E25" s="39">
        <f>現金帳!B25</f>
        <v>0</v>
      </c>
      <c r="F25" s="4"/>
      <c r="G25" s="4"/>
      <c r="H25" s="2">
        <f>現金帳!E25</f>
        <v>0</v>
      </c>
      <c r="I25" s="11">
        <f>現金帳!G25</f>
        <v>0</v>
      </c>
      <c r="J25" s="4"/>
      <c r="K25" s="9" t="s">
        <v>8</v>
      </c>
      <c r="L25" s="4"/>
      <c r="M25" s="4"/>
      <c r="N25" s="9" t="s">
        <v>0</v>
      </c>
      <c r="O25" s="12">
        <f t="shared" si="0"/>
        <v>0</v>
      </c>
      <c r="P25" s="4"/>
      <c r="Q25" s="3">
        <f>現金帳!C25</f>
        <v>0</v>
      </c>
      <c r="R25" s="4"/>
      <c r="S25" s="4"/>
      <c r="T25" s="9">
        <v>0</v>
      </c>
      <c r="U25" s="9"/>
      <c r="V25" s="9"/>
      <c r="W25" s="9"/>
      <c r="X25" s="9"/>
      <c r="Y25" s="9" t="s">
        <v>1</v>
      </c>
    </row>
    <row r="26" spans="1:25" x14ac:dyDescent="0.4">
      <c r="A26" s="9">
        <v>2000</v>
      </c>
      <c r="B26" s="4"/>
      <c r="C26" s="4"/>
      <c r="D26" s="10">
        <f>現金帳!A26</f>
        <v>0</v>
      </c>
      <c r="E26" s="39">
        <f>現金帳!B26</f>
        <v>0</v>
      </c>
      <c r="F26" s="4"/>
      <c r="G26" s="4"/>
      <c r="H26" s="2">
        <f>現金帳!E26</f>
        <v>0</v>
      </c>
      <c r="I26" s="11">
        <f>現金帳!G26</f>
        <v>0</v>
      </c>
      <c r="J26" s="4"/>
      <c r="K26" s="9" t="s">
        <v>8</v>
      </c>
      <c r="L26" s="4"/>
      <c r="M26" s="4"/>
      <c r="N26" s="9" t="s">
        <v>0</v>
      </c>
      <c r="O26" s="12">
        <f t="shared" si="0"/>
        <v>0</v>
      </c>
      <c r="P26" s="4"/>
      <c r="Q26" s="3">
        <f>現金帳!C26</f>
        <v>0</v>
      </c>
      <c r="R26" s="4"/>
      <c r="S26" s="4"/>
      <c r="T26" s="9">
        <v>0</v>
      </c>
      <c r="U26" s="9"/>
      <c r="V26" s="9"/>
      <c r="W26" s="9"/>
      <c r="X26" s="9"/>
      <c r="Y26" s="9" t="s">
        <v>1</v>
      </c>
    </row>
    <row r="27" spans="1:25" x14ac:dyDescent="0.4">
      <c r="A27" s="9">
        <v>2000</v>
      </c>
      <c r="B27" s="4"/>
      <c r="C27" s="4"/>
      <c r="D27" s="10">
        <f>現金帳!A27</f>
        <v>0</v>
      </c>
      <c r="E27" s="39">
        <f>現金帳!B27</f>
        <v>0</v>
      </c>
      <c r="F27" s="4"/>
      <c r="G27" s="4"/>
      <c r="H27" s="2">
        <f>現金帳!E27</f>
        <v>0</v>
      </c>
      <c r="I27" s="11">
        <f>現金帳!G27</f>
        <v>0</v>
      </c>
      <c r="J27" s="4"/>
      <c r="K27" s="9" t="s">
        <v>8</v>
      </c>
      <c r="L27" s="4"/>
      <c r="M27" s="4"/>
      <c r="N27" s="9" t="s">
        <v>0</v>
      </c>
      <c r="O27" s="12">
        <f t="shared" si="0"/>
        <v>0</v>
      </c>
      <c r="P27" s="4"/>
      <c r="Q27" s="3">
        <f>現金帳!C27</f>
        <v>0</v>
      </c>
      <c r="R27" s="4"/>
      <c r="S27" s="4"/>
      <c r="T27" s="9">
        <v>0</v>
      </c>
      <c r="U27" s="9"/>
      <c r="V27" s="9"/>
      <c r="W27" s="9"/>
      <c r="X27" s="9"/>
      <c r="Y27" s="9" t="s">
        <v>1</v>
      </c>
    </row>
    <row r="28" spans="1:25" x14ac:dyDescent="0.4">
      <c r="A28" s="9">
        <v>2000</v>
      </c>
      <c r="B28" s="4"/>
      <c r="C28" s="4"/>
      <c r="D28" s="10">
        <f>現金帳!A28</f>
        <v>0</v>
      </c>
      <c r="E28" s="39">
        <f>現金帳!B28</f>
        <v>0</v>
      </c>
      <c r="F28" s="4"/>
      <c r="G28" s="4"/>
      <c r="H28" s="2">
        <f>現金帳!E28</f>
        <v>0</v>
      </c>
      <c r="I28" s="11">
        <f>現金帳!G28</f>
        <v>0</v>
      </c>
      <c r="J28" s="4"/>
      <c r="K28" s="9" t="s">
        <v>8</v>
      </c>
      <c r="L28" s="4"/>
      <c r="M28" s="4"/>
      <c r="N28" s="9" t="s">
        <v>0</v>
      </c>
      <c r="O28" s="12">
        <f t="shared" si="0"/>
        <v>0</v>
      </c>
      <c r="P28" s="4"/>
      <c r="Q28" s="3">
        <f>現金帳!C28</f>
        <v>0</v>
      </c>
      <c r="R28" s="4"/>
      <c r="S28" s="4"/>
      <c r="T28" s="9">
        <v>0</v>
      </c>
      <c r="U28" s="9"/>
      <c r="V28" s="9"/>
      <c r="W28" s="9"/>
      <c r="X28" s="9"/>
      <c r="Y28" s="9" t="s">
        <v>1</v>
      </c>
    </row>
    <row r="29" spans="1:25" x14ac:dyDescent="0.4">
      <c r="A29" s="9">
        <v>2000</v>
      </c>
      <c r="B29" s="4"/>
      <c r="C29" s="4"/>
      <c r="D29" s="10">
        <f>現金帳!A29</f>
        <v>0</v>
      </c>
      <c r="E29" s="39">
        <f>現金帳!B29</f>
        <v>0</v>
      </c>
      <c r="F29" s="4"/>
      <c r="G29" s="4"/>
      <c r="H29" s="2">
        <f>現金帳!E29</f>
        <v>0</v>
      </c>
      <c r="I29" s="11">
        <f>現金帳!G29</f>
        <v>0</v>
      </c>
      <c r="J29" s="4"/>
      <c r="K29" s="9" t="s">
        <v>8</v>
      </c>
      <c r="L29" s="4"/>
      <c r="M29" s="4"/>
      <c r="N29" s="9" t="s">
        <v>0</v>
      </c>
      <c r="O29" s="12">
        <f t="shared" si="0"/>
        <v>0</v>
      </c>
      <c r="P29" s="4"/>
      <c r="Q29" s="3">
        <f>現金帳!C29</f>
        <v>0</v>
      </c>
      <c r="R29" s="4"/>
      <c r="S29" s="4"/>
      <c r="T29" s="9">
        <v>0</v>
      </c>
      <c r="U29" s="9"/>
      <c r="V29" s="9"/>
      <c r="W29" s="9"/>
      <c r="X29" s="9"/>
      <c r="Y29" s="9" t="s">
        <v>1</v>
      </c>
    </row>
    <row r="30" spans="1:25" x14ac:dyDescent="0.4">
      <c r="A30" s="9">
        <v>2000</v>
      </c>
      <c r="B30" s="4"/>
      <c r="C30" s="4"/>
      <c r="D30" s="10">
        <f>現金帳!A30</f>
        <v>0</v>
      </c>
      <c r="E30" s="39">
        <f>現金帳!B30</f>
        <v>0</v>
      </c>
      <c r="F30" s="4"/>
      <c r="G30" s="4"/>
      <c r="H30" s="2">
        <f>現金帳!E30</f>
        <v>0</v>
      </c>
      <c r="I30" s="11">
        <f>現金帳!G30</f>
        <v>0</v>
      </c>
      <c r="J30" s="4"/>
      <c r="K30" s="9" t="s">
        <v>8</v>
      </c>
      <c r="L30" s="4"/>
      <c r="M30" s="4"/>
      <c r="N30" s="9" t="s">
        <v>0</v>
      </c>
      <c r="O30" s="12">
        <f t="shared" si="0"/>
        <v>0</v>
      </c>
      <c r="P30" s="4"/>
      <c r="Q30" s="3">
        <f>現金帳!C30</f>
        <v>0</v>
      </c>
      <c r="R30" s="4"/>
      <c r="S30" s="4"/>
      <c r="T30" s="9">
        <v>0</v>
      </c>
      <c r="U30" s="9"/>
      <c r="V30" s="9"/>
      <c r="W30" s="9"/>
      <c r="X30" s="9"/>
      <c r="Y30" s="9" t="s">
        <v>1</v>
      </c>
    </row>
    <row r="31" spans="1:25" x14ac:dyDescent="0.4">
      <c r="A31" s="9">
        <v>2000</v>
      </c>
      <c r="B31" s="4"/>
      <c r="C31" s="4"/>
      <c r="D31" s="10">
        <f>現金帳!A31</f>
        <v>0</v>
      </c>
      <c r="E31" s="39">
        <f>現金帳!B31</f>
        <v>0</v>
      </c>
      <c r="F31" s="4"/>
      <c r="G31" s="4"/>
      <c r="H31" s="2">
        <f>現金帳!E31</f>
        <v>0</v>
      </c>
      <c r="I31" s="11">
        <f>現金帳!G31</f>
        <v>0</v>
      </c>
      <c r="J31" s="4"/>
      <c r="K31" s="9" t="s">
        <v>8</v>
      </c>
      <c r="L31" s="4"/>
      <c r="M31" s="4"/>
      <c r="N31" s="9" t="s">
        <v>0</v>
      </c>
      <c r="O31" s="12">
        <f t="shared" si="0"/>
        <v>0</v>
      </c>
      <c r="P31" s="4"/>
      <c r="Q31" s="3">
        <f>現金帳!C31</f>
        <v>0</v>
      </c>
      <c r="R31" s="4"/>
      <c r="S31" s="4"/>
      <c r="T31" s="9">
        <v>0</v>
      </c>
      <c r="U31" s="9"/>
      <c r="V31" s="9"/>
      <c r="W31" s="9"/>
      <c r="X31" s="9"/>
      <c r="Y31" s="9" t="s">
        <v>1</v>
      </c>
    </row>
    <row r="32" spans="1:25" x14ac:dyDescent="0.4">
      <c r="A32" s="9">
        <v>2000</v>
      </c>
      <c r="B32" s="4"/>
      <c r="C32" s="4"/>
      <c r="D32" s="10">
        <f>現金帳!A32</f>
        <v>0</v>
      </c>
      <c r="E32" s="39">
        <f>現金帳!B32</f>
        <v>0</v>
      </c>
      <c r="F32" s="4"/>
      <c r="G32" s="4"/>
      <c r="H32" s="2">
        <f>現金帳!E32</f>
        <v>0</v>
      </c>
      <c r="I32" s="11">
        <f>現金帳!G32</f>
        <v>0</v>
      </c>
      <c r="J32" s="4"/>
      <c r="K32" s="9" t="s">
        <v>8</v>
      </c>
      <c r="L32" s="4"/>
      <c r="M32" s="4"/>
      <c r="N32" s="9" t="s">
        <v>0</v>
      </c>
      <c r="O32" s="12">
        <f t="shared" si="0"/>
        <v>0</v>
      </c>
      <c r="P32" s="4"/>
      <c r="Q32" s="3">
        <f>現金帳!C32</f>
        <v>0</v>
      </c>
      <c r="R32" s="4"/>
      <c r="S32" s="4"/>
      <c r="T32" s="9">
        <v>0</v>
      </c>
      <c r="U32" s="9"/>
      <c r="V32" s="9"/>
      <c r="W32" s="9"/>
      <c r="X32" s="9"/>
      <c r="Y32" s="9" t="s">
        <v>1</v>
      </c>
    </row>
    <row r="33" spans="1:25" x14ac:dyDescent="0.4">
      <c r="A33" s="9">
        <v>2000</v>
      </c>
      <c r="B33" s="4"/>
      <c r="C33" s="4"/>
      <c r="D33" s="10">
        <f>現金帳!A33</f>
        <v>0</v>
      </c>
      <c r="E33" s="39">
        <f>現金帳!B33</f>
        <v>0</v>
      </c>
      <c r="F33" s="4"/>
      <c r="G33" s="4"/>
      <c r="H33" s="2">
        <f>現金帳!E33</f>
        <v>0</v>
      </c>
      <c r="I33" s="11">
        <f>現金帳!G33</f>
        <v>0</v>
      </c>
      <c r="J33" s="4"/>
      <c r="K33" s="9" t="s">
        <v>8</v>
      </c>
      <c r="L33" s="4"/>
      <c r="M33" s="4"/>
      <c r="N33" s="9" t="s">
        <v>0</v>
      </c>
      <c r="O33" s="12">
        <f t="shared" si="0"/>
        <v>0</v>
      </c>
      <c r="P33" s="4"/>
      <c r="Q33" s="3">
        <f>現金帳!C33</f>
        <v>0</v>
      </c>
      <c r="R33" s="4"/>
      <c r="S33" s="4"/>
      <c r="T33" s="9">
        <v>0</v>
      </c>
      <c r="U33" s="9"/>
      <c r="V33" s="9"/>
      <c r="W33" s="9"/>
      <c r="X33" s="9"/>
      <c r="Y33" s="9" t="s">
        <v>1</v>
      </c>
    </row>
    <row r="34" spans="1:25" x14ac:dyDescent="0.4">
      <c r="A34" s="9">
        <v>2000</v>
      </c>
      <c r="B34" s="4"/>
      <c r="C34" s="4"/>
      <c r="D34" s="10">
        <f>現金帳!A34</f>
        <v>0</v>
      </c>
      <c r="E34" s="39">
        <f>現金帳!B34</f>
        <v>0</v>
      </c>
      <c r="F34" s="4"/>
      <c r="G34" s="4"/>
      <c r="H34" s="2">
        <f>現金帳!E34</f>
        <v>0</v>
      </c>
      <c r="I34" s="11">
        <f>現金帳!G34</f>
        <v>0</v>
      </c>
      <c r="J34" s="4"/>
      <c r="K34" s="9" t="s">
        <v>8</v>
      </c>
      <c r="L34" s="4"/>
      <c r="M34" s="4"/>
      <c r="N34" s="9" t="s">
        <v>0</v>
      </c>
      <c r="O34" s="12">
        <f t="shared" si="0"/>
        <v>0</v>
      </c>
      <c r="P34" s="4"/>
      <c r="Q34" s="3">
        <f>現金帳!C34</f>
        <v>0</v>
      </c>
      <c r="R34" s="4"/>
      <c r="S34" s="4"/>
      <c r="T34" s="9">
        <v>0</v>
      </c>
      <c r="U34" s="9"/>
      <c r="V34" s="9"/>
      <c r="W34" s="9"/>
      <c r="X34" s="9"/>
      <c r="Y34" s="9" t="s">
        <v>1</v>
      </c>
    </row>
    <row r="35" spans="1:25" x14ac:dyDescent="0.4">
      <c r="A35" s="9">
        <v>2000</v>
      </c>
      <c r="B35" s="4"/>
      <c r="C35" s="4"/>
      <c r="D35" s="10">
        <f>現金帳!A35</f>
        <v>0</v>
      </c>
      <c r="E35" s="39">
        <f>現金帳!B35</f>
        <v>0</v>
      </c>
      <c r="F35" s="4"/>
      <c r="G35" s="4"/>
      <c r="H35" s="2">
        <f>現金帳!E35</f>
        <v>0</v>
      </c>
      <c r="I35" s="11">
        <f>現金帳!G35</f>
        <v>0</v>
      </c>
      <c r="J35" s="4"/>
      <c r="K35" s="9" t="s">
        <v>8</v>
      </c>
      <c r="L35" s="4"/>
      <c r="M35" s="4"/>
      <c r="N35" s="9" t="s">
        <v>0</v>
      </c>
      <c r="O35" s="12">
        <f t="shared" si="0"/>
        <v>0</v>
      </c>
      <c r="P35" s="4"/>
      <c r="Q35" s="3">
        <f>現金帳!C35</f>
        <v>0</v>
      </c>
      <c r="R35" s="4"/>
      <c r="S35" s="4"/>
      <c r="T35" s="9">
        <v>0</v>
      </c>
      <c r="U35" s="9"/>
      <c r="V35" s="9"/>
      <c r="W35" s="9"/>
      <c r="X35" s="9"/>
      <c r="Y35" s="9" t="s">
        <v>1</v>
      </c>
    </row>
    <row r="36" spans="1:25" x14ac:dyDescent="0.4">
      <c r="A36" s="9">
        <v>2000</v>
      </c>
      <c r="B36" s="4"/>
      <c r="C36" s="4"/>
      <c r="D36" s="10">
        <f>現金帳!A36</f>
        <v>0</v>
      </c>
      <c r="E36" s="39">
        <f>現金帳!B36</f>
        <v>0</v>
      </c>
      <c r="F36" s="4"/>
      <c r="G36" s="4"/>
      <c r="H36" s="2">
        <f>現金帳!E36</f>
        <v>0</v>
      </c>
      <c r="I36" s="11">
        <f>現金帳!G36</f>
        <v>0</v>
      </c>
      <c r="J36" s="4"/>
      <c r="K36" s="9" t="s">
        <v>8</v>
      </c>
      <c r="L36" s="4"/>
      <c r="M36" s="4"/>
      <c r="N36" s="9" t="s">
        <v>0</v>
      </c>
      <c r="O36" s="12">
        <f t="shared" si="0"/>
        <v>0</v>
      </c>
      <c r="P36" s="4"/>
      <c r="Q36" s="3">
        <f>現金帳!C36</f>
        <v>0</v>
      </c>
      <c r="R36" s="4"/>
      <c r="S36" s="4"/>
      <c r="T36" s="9">
        <v>0</v>
      </c>
      <c r="U36" s="9"/>
      <c r="V36" s="9"/>
      <c r="W36" s="9"/>
      <c r="X36" s="9"/>
      <c r="Y36" s="9" t="s">
        <v>1</v>
      </c>
    </row>
    <row r="37" spans="1:25" x14ac:dyDescent="0.4">
      <c r="A37" s="9">
        <v>2000</v>
      </c>
      <c r="B37" s="4"/>
      <c r="C37" s="4"/>
      <c r="D37" s="10">
        <f>現金帳!A37</f>
        <v>0</v>
      </c>
      <c r="E37" s="39">
        <f>現金帳!B37</f>
        <v>0</v>
      </c>
      <c r="F37" s="4"/>
      <c r="G37" s="4"/>
      <c r="H37" s="2">
        <f>現金帳!E37</f>
        <v>0</v>
      </c>
      <c r="I37" s="11">
        <f>現金帳!G37</f>
        <v>0</v>
      </c>
      <c r="J37" s="4"/>
      <c r="K37" s="9" t="s">
        <v>8</v>
      </c>
      <c r="L37" s="4"/>
      <c r="M37" s="4"/>
      <c r="N37" s="9" t="s">
        <v>0</v>
      </c>
      <c r="O37" s="12">
        <f t="shared" si="0"/>
        <v>0</v>
      </c>
      <c r="P37" s="4"/>
      <c r="Q37" s="3">
        <f>現金帳!C37</f>
        <v>0</v>
      </c>
      <c r="R37" s="4"/>
      <c r="S37" s="4"/>
      <c r="T37" s="9">
        <v>0</v>
      </c>
      <c r="U37" s="9"/>
      <c r="V37" s="9"/>
      <c r="W37" s="9"/>
      <c r="X37" s="9"/>
      <c r="Y37" s="9" t="s">
        <v>1</v>
      </c>
    </row>
    <row r="38" spans="1:25" x14ac:dyDescent="0.4">
      <c r="A38" s="9">
        <v>2000</v>
      </c>
      <c r="B38" s="4"/>
      <c r="C38" s="4"/>
      <c r="D38" s="10">
        <f>現金帳!A38</f>
        <v>0</v>
      </c>
      <c r="E38" s="39">
        <f>現金帳!B38</f>
        <v>0</v>
      </c>
      <c r="F38" s="4"/>
      <c r="G38" s="4"/>
      <c r="H38" s="2">
        <f>現金帳!E38</f>
        <v>0</v>
      </c>
      <c r="I38" s="11">
        <f>現金帳!G38</f>
        <v>0</v>
      </c>
      <c r="J38" s="4"/>
      <c r="K38" s="9" t="s">
        <v>8</v>
      </c>
      <c r="L38" s="4"/>
      <c r="M38" s="4"/>
      <c r="N38" s="9" t="s">
        <v>0</v>
      </c>
      <c r="O38" s="12">
        <f t="shared" si="0"/>
        <v>0</v>
      </c>
      <c r="P38" s="4"/>
      <c r="Q38" s="3">
        <f>現金帳!C38</f>
        <v>0</v>
      </c>
      <c r="R38" s="4"/>
      <c r="S38" s="4"/>
      <c r="T38" s="9">
        <v>0</v>
      </c>
      <c r="U38" s="9"/>
      <c r="V38" s="9"/>
      <c r="W38" s="9"/>
      <c r="X38" s="9"/>
      <c r="Y38" s="9" t="s">
        <v>1</v>
      </c>
    </row>
    <row r="39" spans="1:25" x14ac:dyDescent="0.4">
      <c r="A39" s="9">
        <v>2000</v>
      </c>
      <c r="B39" s="4"/>
      <c r="C39" s="4"/>
      <c r="D39" s="10">
        <f>現金帳!A39</f>
        <v>0</v>
      </c>
      <c r="E39" s="39">
        <f>現金帳!B39</f>
        <v>0</v>
      </c>
      <c r="F39" s="4"/>
      <c r="G39" s="4"/>
      <c r="H39" s="2">
        <f>現金帳!E39</f>
        <v>0</v>
      </c>
      <c r="I39" s="11">
        <f>現金帳!G39</f>
        <v>0</v>
      </c>
      <c r="J39" s="4"/>
      <c r="K39" s="9" t="s">
        <v>8</v>
      </c>
      <c r="L39" s="4"/>
      <c r="M39" s="4"/>
      <c r="N39" s="9" t="s">
        <v>0</v>
      </c>
      <c r="O39" s="12">
        <f t="shared" si="0"/>
        <v>0</v>
      </c>
      <c r="P39" s="4"/>
      <c r="Q39" s="3">
        <f>現金帳!C39</f>
        <v>0</v>
      </c>
      <c r="R39" s="4"/>
      <c r="S39" s="4"/>
      <c r="T39" s="9">
        <v>0</v>
      </c>
      <c r="U39" s="9"/>
      <c r="V39" s="9"/>
      <c r="W39" s="9"/>
      <c r="X39" s="9"/>
      <c r="Y39" s="9" t="s">
        <v>1</v>
      </c>
    </row>
    <row r="40" spans="1:25" x14ac:dyDescent="0.4">
      <c r="A40" s="9">
        <v>2000</v>
      </c>
      <c r="B40" s="4"/>
      <c r="C40" s="4"/>
      <c r="D40" s="10">
        <f>現金帳!A40</f>
        <v>0</v>
      </c>
      <c r="E40" s="39">
        <f>現金帳!B40</f>
        <v>0</v>
      </c>
      <c r="F40" s="4"/>
      <c r="G40" s="4"/>
      <c r="H40" s="2">
        <f>現金帳!E40</f>
        <v>0</v>
      </c>
      <c r="I40" s="11">
        <f>現金帳!G40</f>
        <v>0</v>
      </c>
      <c r="J40" s="4"/>
      <c r="K40" s="9" t="s">
        <v>8</v>
      </c>
      <c r="L40" s="4"/>
      <c r="M40" s="4"/>
      <c r="N40" s="9" t="s">
        <v>0</v>
      </c>
      <c r="O40" s="12">
        <f t="shared" si="0"/>
        <v>0</v>
      </c>
      <c r="P40" s="4"/>
      <c r="Q40" s="3">
        <f>現金帳!C40</f>
        <v>0</v>
      </c>
      <c r="R40" s="4"/>
      <c r="S40" s="4"/>
      <c r="T40" s="9">
        <v>0</v>
      </c>
      <c r="U40" s="9"/>
      <c r="V40" s="9"/>
      <c r="W40" s="9"/>
      <c r="X40" s="9"/>
      <c r="Y40" s="9" t="s">
        <v>1</v>
      </c>
    </row>
    <row r="41" spans="1:25" x14ac:dyDescent="0.4">
      <c r="A41" s="9">
        <v>2000</v>
      </c>
      <c r="B41" s="4"/>
      <c r="C41" s="4"/>
      <c r="D41" s="10">
        <f>現金帳!A41</f>
        <v>0</v>
      </c>
      <c r="E41" s="39">
        <f>現金帳!B41</f>
        <v>0</v>
      </c>
      <c r="F41" s="4"/>
      <c r="G41" s="4"/>
      <c r="H41" s="2">
        <f>現金帳!E41</f>
        <v>0</v>
      </c>
      <c r="I41" s="11">
        <f>現金帳!G41</f>
        <v>0</v>
      </c>
      <c r="J41" s="4"/>
      <c r="K41" s="9" t="s">
        <v>8</v>
      </c>
      <c r="L41" s="4"/>
      <c r="M41" s="4"/>
      <c r="N41" s="9" t="s">
        <v>0</v>
      </c>
      <c r="O41" s="12">
        <f t="shared" si="0"/>
        <v>0</v>
      </c>
      <c r="P41" s="4"/>
      <c r="Q41" s="3">
        <f>現金帳!C41</f>
        <v>0</v>
      </c>
      <c r="R41" s="4"/>
      <c r="S41" s="4"/>
      <c r="T41" s="9">
        <v>0</v>
      </c>
      <c r="U41" s="9"/>
      <c r="V41" s="9"/>
      <c r="W41" s="9"/>
      <c r="X41" s="9"/>
      <c r="Y41" s="9" t="s">
        <v>1</v>
      </c>
    </row>
    <row r="42" spans="1:25" x14ac:dyDescent="0.4">
      <c r="A42" s="9">
        <v>2000</v>
      </c>
      <c r="B42" s="4"/>
      <c r="C42" s="4"/>
      <c r="D42" s="10">
        <f>現金帳!A42</f>
        <v>0</v>
      </c>
      <c r="E42" s="39">
        <f>現金帳!B42</f>
        <v>0</v>
      </c>
      <c r="F42" s="4"/>
      <c r="G42" s="4"/>
      <c r="H42" s="2">
        <f>現金帳!E42</f>
        <v>0</v>
      </c>
      <c r="I42" s="11">
        <f>現金帳!G42</f>
        <v>0</v>
      </c>
      <c r="J42" s="4"/>
      <c r="K42" s="9" t="s">
        <v>8</v>
      </c>
      <c r="L42" s="4"/>
      <c r="M42" s="4"/>
      <c r="N42" s="9" t="s">
        <v>0</v>
      </c>
      <c r="O42" s="12">
        <f t="shared" si="0"/>
        <v>0</v>
      </c>
      <c r="P42" s="4"/>
      <c r="Q42" s="3">
        <f>現金帳!C42</f>
        <v>0</v>
      </c>
      <c r="R42" s="4"/>
      <c r="S42" s="4"/>
      <c r="T42" s="9">
        <v>0</v>
      </c>
      <c r="U42" s="9"/>
      <c r="V42" s="9"/>
      <c r="W42" s="9"/>
      <c r="X42" s="9"/>
      <c r="Y42" s="9" t="s">
        <v>1</v>
      </c>
    </row>
    <row r="43" spans="1:25" x14ac:dyDescent="0.4">
      <c r="A43" s="9">
        <v>2000</v>
      </c>
      <c r="B43" s="4"/>
      <c r="C43" s="4"/>
      <c r="D43" s="10">
        <f>現金帳!A43</f>
        <v>0</v>
      </c>
      <c r="E43" s="39">
        <f>現金帳!B43</f>
        <v>0</v>
      </c>
      <c r="F43" s="4"/>
      <c r="G43" s="4"/>
      <c r="H43" s="2">
        <f>現金帳!E43</f>
        <v>0</v>
      </c>
      <c r="I43" s="11">
        <f>現金帳!G43</f>
        <v>0</v>
      </c>
      <c r="J43" s="4"/>
      <c r="K43" s="9" t="s">
        <v>8</v>
      </c>
      <c r="L43" s="4"/>
      <c r="M43" s="4"/>
      <c r="N43" s="9" t="s">
        <v>0</v>
      </c>
      <c r="O43" s="12">
        <f t="shared" si="0"/>
        <v>0</v>
      </c>
      <c r="P43" s="4"/>
      <c r="Q43" s="3">
        <f>現金帳!C43</f>
        <v>0</v>
      </c>
      <c r="R43" s="4"/>
      <c r="S43" s="4"/>
      <c r="T43" s="9">
        <v>0</v>
      </c>
      <c r="U43" s="9"/>
      <c r="V43" s="9"/>
      <c r="W43" s="9"/>
      <c r="X43" s="9"/>
      <c r="Y43" s="9" t="s">
        <v>1</v>
      </c>
    </row>
    <row r="44" spans="1:25" x14ac:dyDescent="0.4">
      <c r="A44" s="9">
        <v>2000</v>
      </c>
      <c r="B44" s="4"/>
      <c r="C44" s="4"/>
      <c r="D44" s="10">
        <f>現金帳!A44</f>
        <v>0</v>
      </c>
      <c r="E44" s="39">
        <f>現金帳!B44</f>
        <v>0</v>
      </c>
      <c r="F44" s="4"/>
      <c r="G44" s="4"/>
      <c r="H44" s="2">
        <f>現金帳!E44</f>
        <v>0</v>
      </c>
      <c r="I44" s="11">
        <f>現金帳!G44</f>
        <v>0</v>
      </c>
      <c r="J44" s="4"/>
      <c r="K44" s="9" t="s">
        <v>8</v>
      </c>
      <c r="L44" s="4"/>
      <c r="M44" s="4"/>
      <c r="N44" s="9" t="s">
        <v>0</v>
      </c>
      <c r="O44" s="12">
        <f t="shared" si="0"/>
        <v>0</v>
      </c>
      <c r="P44" s="4"/>
      <c r="Q44" s="3">
        <f>現金帳!C44</f>
        <v>0</v>
      </c>
      <c r="R44" s="4"/>
      <c r="S44" s="4"/>
      <c r="T44" s="9">
        <v>0</v>
      </c>
      <c r="U44" s="9"/>
      <c r="V44" s="9"/>
      <c r="W44" s="9"/>
      <c r="X44" s="9"/>
      <c r="Y44" s="9" t="s">
        <v>1</v>
      </c>
    </row>
    <row r="45" spans="1:25" x14ac:dyDescent="0.4">
      <c r="A45" s="13" t="s">
        <v>15</v>
      </c>
      <c r="B45" s="14"/>
      <c r="C45" s="14"/>
      <c r="D45" s="13"/>
      <c r="E45" s="13"/>
      <c r="F45" s="14"/>
      <c r="G45" s="14"/>
      <c r="H45" s="2"/>
      <c r="I45" s="15">
        <f>SUM(I5:I44)</f>
        <v>0</v>
      </c>
      <c r="J45" s="15"/>
      <c r="K45" s="15"/>
      <c r="L45" s="15"/>
      <c r="M45" s="15"/>
      <c r="N45" s="16"/>
      <c r="O45" s="15">
        <f>SUM(O5:O44)</f>
        <v>0</v>
      </c>
      <c r="P45" s="14"/>
      <c r="Q45" s="14"/>
      <c r="R45" s="14"/>
      <c r="S45" s="14"/>
      <c r="T45" s="13"/>
      <c r="U45" s="13"/>
      <c r="V45" s="13"/>
      <c r="W45" s="13"/>
      <c r="X45" s="13"/>
      <c r="Y45" s="13"/>
    </row>
  </sheetData>
  <sheetProtection algorithmName="SHA-512" hashValue="TO57eUF1vTuIucpagvuX2sUR/k/0AkVSaKc/hOAImbABJOuB6wiV2oyH13lkO4x02EH5/Xj7rU9qU6LRK0HHpA==" saltValue="qM7QHzleVG6iPxEtevakUw==" spinCount="100000" sheet="1" objects="1" scenarios="1" selectLockedCells="1" selectUnlockedCells="1"/>
  <mergeCells count="26">
    <mergeCell ref="A1:B1"/>
    <mergeCell ref="A3:A4"/>
    <mergeCell ref="B3:B4"/>
    <mergeCell ref="T3:T4"/>
    <mergeCell ref="U3:U4"/>
    <mergeCell ref="H3:H4"/>
    <mergeCell ref="I3:I4"/>
    <mergeCell ref="K3:K4"/>
    <mergeCell ref="J3:J4"/>
    <mergeCell ref="L3:L4"/>
    <mergeCell ref="M3:M4"/>
    <mergeCell ref="C3:C4"/>
    <mergeCell ref="D3:D4"/>
    <mergeCell ref="E3:E4"/>
    <mergeCell ref="G3:G4"/>
    <mergeCell ref="F3:F4"/>
    <mergeCell ref="V3:V4"/>
    <mergeCell ref="W3:W4"/>
    <mergeCell ref="X3:X4"/>
    <mergeCell ref="Y3:Y4"/>
    <mergeCell ref="N3:N4"/>
    <mergeCell ref="O3:O4"/>
    <mergeCell ref="P3:P4"/>
    <mergeCell ref="Q3:Q4"/>
    <mergeCell ref="R3:R4"/>
    <mergeCell ref="S3:S4"/>
  </mergeCells>
  <phoneticPr fontId="1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8A12-FA5D-4729-A671-73734340B916}">
  <dimension ref="A1"/>
  <sheetViews>
    <sheetView workbookViewId="0"/>
  </sheetViews>
  <sheetFormatPr defaultRowHeight="18.75" x14ac:dyDescent="0.4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現金帳</vt:lpstr>
      <vt:lpstr>CSV</vt:lpstr>
      <vt:lpstr>Sheet1</vt:lpstr>
      <vt:lpstr>CSV!Print_Area</vt:lpstr>
      <vt:lpstr>現金帳!Print_Area</vt:lpstr>
      <vt:lpstr>現金帳!Print_Titles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caramail</dc:creator>
  <cp:lastModifiedBy>se watanabe</cp:lastModifiedBy>
  <cp:lastPrinted>2026-08-29T06:07:33Z</cp:lastPrinted>
  <dcterms:created xsi:type="dcterms:W3CDTF">2020-11-13T01:52:18Z</dcterms:created>
  <dcterms:modified xsi:type="dcterms:W3CDTF">2026-09-09T05:02:07Z</dcterms:modified>
</cp:coreProperties>
</file>